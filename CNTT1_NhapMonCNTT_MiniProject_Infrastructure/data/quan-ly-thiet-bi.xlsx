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4c38815cf847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-muc-linh-kien" sheetId="1" r:id="R3ae6248aab16467a"/>
    <x:sheet xmlns:r="http://schemas.openxmlformats.org/officeDocument/2006/relationships" name="trang-thai-tram" sheetId="2" r:id="R3e3dc3778f8243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 &quot;VNĐ&quot;"/>
    <x:numFmt numFmtId="201" formatCode="dd/mm/yy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98f54ec0e44e19" /><Relationship Type="http://schemas.openxmlformats.org/officeDocument/2006/relationships/theme" Target="/xl/theme/theme1.xml" Id="Rccf30869ebcc489b" /><Relationship Type="http://schemas.openxmlformats.org/officeDocument/2006/relationships/sharedStrings" Target="/xl/sharedStrings.xml" Id="R6402ff54f6d04aae" /><Relationship Type="http://schemas.openxmlformats.org/officeDocument/2006/relationships/worksheet" Target="/xl/worksheets/sheet1.xml" Id="R3ae6248aab16467a" /><Relationship Type="http://schemas.openxmlformats.org/officeDocument/2006/relationships/worksheet" Target="/xl/worksheets/sheet2.xml" Id="R3e3dc3778f824380" /></Relationships>
</file>

<file path=xl/tables/table1.xml><?xml version="1.0" encoding="utf-8"?>
<x:table xmlns:x="http://schemas.openxmlformats.org/spreadsheetml/2006/main" id="1" name="DanhMucTable1" displayName="DanhMucTable1" ref="A1:D9" headerRowCount="1" totalsRowCount="0" totalsRowShown="0">
  <x:tableColumns count="4">
    <x:tableColumn id="1" name="ma_linh_kien"/>
    <x:tableColumn id="2" name="ten_thiet_bi"/>
    <x:tableColumn id="3" name="don_gia"/>
    <x:tableColumn id="4" name="loai_stor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ngThaiTable1" displayName="TrangThaiTable1" ref="A1:H101" headerRowCount="1" totalsRowCount="0" totalsRowShown="0">
  <x:tableColumns count="8">
    <x:tableColumn id="1" name="ma_tram"/>
    <x:tableColumn id="2" name="ma_linh_kien_goc"/>
    <x:tableColumn id="3" name="ma_linh_kien_sach"/>
    <x:tableColumn id="4" name="ten_thiet_bi"/>
    <x:tableColumn id="5" name="don_gia"/>
    <x:tableColumn id="6" name="loai_storage"/>
    <x:tableColumn id="7" name="dung_luong_ram_gb"/>
    <x:tableColumn id="8" name="ngay_lap_d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b0659ba3944c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93cfeb5d06416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16" hidden="0" customWidth="1"/>
  </x:cols>
  <x:sheetData>
    <x:row r="1">
      <x:c r="A1" s="5" t="str">
        <x:v>ma_linh_kien</x:v>
      </x:c>
      <x:c r="B1" s="5" t="str">
        <x:v>ten_thiet_bi</x:v>
      </x:c>
      <x:c r="C1" s="5" t="str">
        <x:v>don_gia</x:v>
      </x:c>
      <x:c r="D1" s="5" t="str">
        <x:v>loai_storage</x:v>
      </x:c>
    </x:row>
    <x:row r="2">
      <x:c r="A2" t="str">
        <x:v>LK001</x:v>
      </x:c>
      <x:c r="B2" t="str">
        <x:v>Gateway IoT</x:v>
      </x:c>
      <x:c r="C2" s="10" t="n">
        <x:v>1250000</x:v>
      </x:c>
      <x:c r="D2" t="str">
        <x:v>SSD</x:v>
      </x:c>
    </x:row>
    <x:row r="3">
      <x:c r="A3" t="str">
        <x:v>LK002</x:v>
      </x:c>
      <x:c r="B3" t="str">
        <x:v>Mini PC Edge</x:v>
      </x:c>
      <x:c r="C3" s="10" t="n">
        <x:v>2850000</x:v>
      </x:c>
      <x:c r="D3" t="str">
        <x:v>SSD</x:v>
      </x:c>
    </x:row>
    <x:row r="4">
      <x:c r="A4" t="str">
        <x:v>LK003</x:v>
      </x:c>
      <x:c r="B4" t="str">
        <x:v>Data Logger</x:v>
      </x:c>
      <x:c r="C4" s="10" t="n">
        <x:v>980000</x:v>
      </x:c>
      <x:c r="D4" t="str">
        <x:v>SSD</x:v>
      </x:c>
    </x:row>
    <x:row r="5">
      <x:c r="A5" t="str">
        <x:v>LK004</x:v>
      </x:c>
      <x:c r="B5" t="str">
        <x:v>Gateway Legacy</x:v>
      </x:c>
      <x:c r="C5" s="10" t="n">
        <x:v>760000</x:v>
      </x:c>
      <x:c r="D5" t="str">
        <x:v>HDD</x:v>
      </x:c>
    </x:row>
    <x:row r="6">
      <x:c r="A6" t="str">
        <x:v>LK005</x:v>
      </x:c>
      <x:c r="B6" t="str">
        <x:v>Control Box</x:v>
      </x:c>
      <x:c r="C6" s="10" t="n">
        <x:v>1450000</x:v>
      </x:c>
      <x:c r="D6" t="str">
        <x:v>SSD</x:v>
      </x:c>
    </x:row>
    <x:row r="7">
      <x:c r="A7" t="str">
        <x:v>LK006</x:v>
      </x:c>
      <x:c r="B7" t="str">
        <x:v>Edge Server</x:v>
      </x:c>
      <x:c r="C7" s="10" t="n">
        <x:v>6200000</x:v>
      </x:c>
      <x:c r="D7" t="str">
        <x:v>SSD</x:v>
      </x:c>
    </x:row>
    <x:row r="8">
      <x:c r="A8" t="str">
        <x:v>LK007</x:v>
      </x:c>
      <x:c r="B8" t="str">
        <x:v>Backup Node</x:v>
      </x:c>
      <x:c r="C8" s="10" t="n">
        <x:v>3100000</x:v>
      </x:c>
      <x:c r="D8" t="str">
        <x:v>HDD</x:v>
      </x:c>
    </x:row>
    <x:row r="9">
      <x:c r="A9" t="str">
        <x:v>LK008</x:v>
      </x:c>
      <x:c r="B9" t="str">
        <x:v>Sensor Hub</x:v>
      </x:c>
      <x:c r="C9" s="10" t="n">
        <x:v>890000</x:v>
      </x:c>
      <x:c r="D9" t="str">
        <x:v>SSD</x:v>
      </x:c>
    </x:row>
  </x:sheetData>
  <x:pageMargins left="0.7" right="0.7" top="0.75" bottom="0.75" header="0.3" footer="0.3"/>
  <x:tableParts count="1">
    <x:tablePart xmlns:r="http://schemas.openxmlformats.org/officeDocument/2006/relationships" r:id="R09b0659ba3944ce9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8" hidden="0" customWidth="1"/>
    <x:col min="5" max="5" width="16" hidden="0" customWidth="1"/>
    <x:col min="6" max="6" width="16" hidden="0" customWidth="1"/>
    <x:col min="7" max="7" width="19" hidden="0" customWidth="1"/>
    <x:col min="8" max="8" width="15" hidden="0" customWidth="1"/>
    <x:col min="10" max="10" width="28" hidden="0" customWidth="1"/>
    <x:col min="11" max="11" width="28" hidden="0" customWidth="1"/>
  </x:cols>
  <x:sheetData>
    <x:row r="1">
      <x:c r="A1" s="5" t="str">
        <x:v>ma_tram</x:v>
      </x:c>
      <x:c r="B1" s="5" t="str">
        <x:v>ma_linh_kien_goc</x:v>
      </x:c>
      <x:c r="C1" s="5" t="str">
        <x:v>ma_linh_kien_sach</x:v>
      </x:c>
      <x:c r="D1" s="5" t="str">
        <x:v>ten_thiet_bi</x:v>
      </x:c>
      <x:c r="E1" s="5" t="str">
        <x:v>don_gia</x:v>
      </x:c>
      <x:c r="F1" s="5" t="str">
        <x:v>loai_storage</x:v>
      </x:c>
      <x:c r="G1" s="5" t="str">
        <x:v>dung_luong_ram_gb</x:v>
      </x:c>
      <x:c r="H1" s="5" t="str">
        <x:v>ngay_lap_dat</x:v>
      </x:c>
      <x:c r="J1" s="15" t="str">
        <x:v>Kiểm tra Database</x:v>
      </x:c>
      <x:c r="K1" s="15" t="str">
        <x:v>Trạng thái</x:v>
      </x:c>
    </x:row>
    <x:row r="2">
      <x:c r="A2" t="str">
        <x:v>tram-001</x:v>
      </x:c>
      <x:c r="B2" t="str">
        <x:v>LK001</x:v>
      </x:c>
      <x:c r="C2" t="str">
        <x:f>TRIM(B2)</x:f>
        <x:v>LK001</x:v>
      </x:c>
      <x:c r="D2" t="str">
        <x:f>IFERROR(VLOOKUP(C2,'danh-muc-linh-kien'!$A$2:$D$9,2,FALSE),"Chưa cập nhật")</x:f>
        <x:v>Gateway IoT</x:v>
      </x:c>
      <x:c r="E2" s="10" t="n">
        <x:f>IFERROR(VLOOKUP(C2,'danh-muc-linh-kien'!$A$2:$D$9,3,FALSE),"")</x:f>
        <x:v>1250000</x:v>
      </x:c>
      <x:c r="F2" t="str">
        <x:f>IFERROR(VLOOKUP(C2,'danh-muc-linh-kien'!$A$2:$D$9,4,FALSE),"")</x:f>
        <x:v>SSD</x:v>
      </x:c>
      <x:c r="G2" t="n">
        <x:v>4</x:v>
      </x:c>
      <x:c r="H2" s="12" t="n">
        <x:v>46030</x:v>
      </x:c>
      <x:c r="J2" t="str">
        <x:v>Không Merge Cell</x:v>
      </x:c>
      <x:c r="K2" t="str">
        <x:v>Đạt</x:v>
      </x:c>
    </x:row>
    <x:row r="3">
      <x:c r="A3" t="str">
        <x:v>tram-002</x:v>
      </x:c>
      <x:c r="B3" t="str">
        <x:v>LK002</x:v>
      </x:c>
      <x:c r="C3" t="str">
        <x:f>TRIM(B3)</x:f>
        <x:v>LK002</x:v>
      </x:c>
      <x:c r="D3" t="str">
        <x:f>IFERROR(VLOOKUP(C3,'danh-muc-linh-kien'!$A$2:$D$9,2,FALSE),"Chưa cập nhật")</x:f>
        <x:v>Mini PC Edge</x:v>
      </x:c>
      <x:c r="E3" s="10" t="n">
        <x:f>IFERROR(VLOOKUP(C3,'danh-muc-linh-kien'!$A$2:$D$9,3,FALSE),"")</x:f>
        <x:v>2850000</x:v>
      </x:c>
      <x:c r="F3" t="str">
        <x:f>IFERROR(VLOOKUP(C3,'danh-muc-linh-kien'!$A$2:$D$9,4,FALSE),"")</x:f>
        <x:v>SSD</x:v>
      </x:c>
      <x:c r="G3" t="n">
        <x:v>8</x:v>
      </x:c>
      <x:c r="H3" s="12" t="n">
        <x:v>46033</x:v>
      </x:c>
      <x:c r="J3" t="str">
        <x:v>Không hàng trống trong vùng dữ liệu</x:v>
      </x:c>
      <x:c r="K3" t="str">
        <x:v>Đạt</x:v>
      </x:c>
    </x:row>
    <x:row r="4">
      <x:c r="A4" t="str">
        <x:v>tram-003</x:v>
      </x:c>
      <x:c r="B4" t="str">
        <x:v>LK003</x:v>
      </x:c>
      <x:c r="C4" t="str">
        <x:f>TRIM(B4)</x:f>
        <x:v>LK003</x:v>
      </x:c>
      <x:c r="D4" t="str">
        <x:f>IFERROR(VLOOKUP(C4,'danh-muc-linh-kien'!$A$2:$D$9,2,FALSE),"Chưa cập nhật")</x:f>
        <x:v>Data Logger</x:v>
      </x:c>
      <x:c r="E4" s="10" t="n">
        <x:f>IFERROR(VLOOKUP(C4,'danh-muc-linh-kien'!$A$2:$D$9,3,FALSE),"")</x:f>
        <x:v>980000</x:v>
      </x:c>
      <x:c r="F4" t="str">
        <x:f>IFERROR(VLOOKUP(C4,'danh-muc-linh-kien'!$A$2:$D$9,4,FALSE),"")</x:f>
        <x:v>SSD</x:v>
      </x:c>
      <x:c r="G4" t="n">
        <x:v>8</x:v>
      </x:c>
      <x:c r="H4" s="12" t="n">
        <x:v>46036</x:v>
      </x:c>
      <x:c r="J4" t="str">
        <x:v>Lookup_value được TRIM</x:v>
      </x:c>
      <x:c r="K4" t="str">
        <x:v>Đạt</x:v>
      </x:c>
    </x:row>
    <x:row r="5">
      <x:c r="A5" t="str">
        <x:v>tram-004</x:v>
      </x:c>
      <x:c r="B5" t="str">
        <x:v>LK004</x:v>
      </x:c>
      <x:c r="C5" t="str">
        <x:f>TRIM(B5)</x:f>
        <x:v>LK004</x:v>
      </x:c>
      <x:c r="D5" t="str">
        <x:f>IFERROR(VLOOKUP(C5,'danh-muc-linh-kien'!$A$2:$D$9,2,FALSE),"Chưa cập nhật")</x:f>
        <x:v>Gateway Legacy</x:v>
      </x:c>
      <x:c r="E5" s="10" t="n">
        <x:f>IFERROR(VLOOKUP(C5,'danh-muc-linh-kien'!$A$2:$D$9,3,FALSE),"")</x:f>
        <x:v>760000</x:v>
      </x:c>
      <x:c r="F5" t="str">
        <x:f>IFERROR(VLOOKUP(C5,'danh-muc-linh-kien'!$A$2:$D$9,4,FALSE),"")</x:f>
        <x:v>HDD</x:v>
      </x:c>
      <x:c r="G5" t="n">
        <x:v>16</x:v>
      </x:c>
      <x:c r="H5" s="12" t="n">
        <x:v>46039</x:v>
      </x:c>
      <x:c r="J5" t="str">
        <x:v>Vùng tra cố định bằng $</x:v>
      </x:c>
      <x:c r="K5" t="str">
        <x:v>Đạt</x:v>
      </x:c>
    </x:row>
    <x:row r="6">
      <x:c r="A6" t="str">
        <x:v>tram-005</x:v>
      </x:c>
      <x:c r="B6" t="str">
        <x:v>LK005</x:v>
      </x:c>
      <x:c r="C6" t="str">
        <x:f>TRIM(B6)</x:f>
        <x:v>LK005</x:v>
      </x:c>
      <x:c r="D6" t="str">
        <x:f>IFERROR(VLOOKUP(C6,'danh-muc-linh-kien'!$A$2:$D$9,2,FALSE),"Chưa cập nhật")</x:f>
        <x:v>Control Box</x:v>
      </x:c>
      <x:c r="E6" s="10" t="n">
        <x:f>IFERROR(VLOOKUP(C6,'danh-muc-linh-kien'!$A$2:$D$9,3,FALSE),"")</x:f>
        <x:v>1450000</x:v>
      </x:c>
      <x:c r="F6" t="str">
        <x:f>IFERROR(VLOOKUP(C6,'danh-muc-linh-kien'!$A$2:$D$9,4,FALSE),"")</x:f>
        <x:v>SSD</x:v>
      </x:c>
      <x:c r="G6" t="n">
        <x:v>4</x:v>
      </x:c>
      <x:c r="H6" s="12" t="n">
        <x:v>46042</x:v>
      </x:c>
      <x:c r="J6" t="str">
        <x:v>VLOOKUP dùng FALSE</x:v>
      </x:c>
      <x:c r="K6" t="str">
        <x:v>Đạt</x:v>
      </x:c>
    </x:row>
    <x:row r="7">
      <x:c r="A7" t="str">
        <x:v>tram-006</x:v>
      </x:c>
      <x:c r="B7" t="str">
        <x:v>LK006</x:v>
      </x:c>
      <x:c r="C7" t="str">
        <x:f>TRIM(B7)</x:f>
        <x:v>LK006</x:v>
      </x:c>
      <x:c r="D7" t="str">
        <x:f>IFERROR(VLOOKUP(C7,'danh-muc-linh-kien'!$A$2:$D$9,2,FALSE),"Chưa cập nhật")</x:f>
        <x:v>Edge Server</x:v>
      </x:c>
      <x:c r="E7" s="10" t="n">
        <x:f>IFERROR(VLOOKUP(C7,'danh-muc-linh-kien'!$A$2:$D$9,3,FALSE),"")</x:f>
        <x:v>6200000</x:v>
      </x:c>
      <x:c r="F7" t="str">
        <x:f>IFERROR(VLOOKUP(C7,'danh-muc-linh-kien'!$A$2:$D$9,4,FALSE),"")</x:f>
        <x:v>SSD</x:v>
      </x:c>
      <x:c r="G7" t="n">
        <x:v>16</x:v>
      </x:c>
      <x:c r="H7" s="12" t="n">
        <x:v>46045</x:v>
      </x:c>
    </x:row>
    <x:row r="8">
      <x:c r="A8" t="str">
        <x:v>tram-007</x:v>
      </x:c>
      <x:c r="B8" t="str">
        <x:v>LK007</x:v>
      </x:c>
      <x:c r="C8" t="str">
        <x:f>TRIM(B8)</x:f>
        <x:v>LK007</x:v>
      </x:c>
      <x:c r="D8" t="str">
        <x:f>IFERROR(VLOOKUP(C8,'danh-muc-linh-kien'!$A$2:$D$9,2,FALSE),"Chưa cập nhật")</x:f>
        <x:v>Backup Node</x:v>
      </x:c>
      <x:c r="E8" s="10" t="n">
        <x:f>IFERROR(VLOOKUP(C8,'danh-muc-linh-kien'!$A$2:$D$9,3,FALSE),"")</x:f>
        <x:v>3100000</x:v>
      </x:c>
      <x:c r="F8" t="str">
        <x:f>IFERROR(VLOOKUP(C8,'danh-muc-linh-kien'!$A$2:$D$9,4,FALSE),"")</x:f>
        <x:v>HDD</x:v>
      </x:c>
      <x:c r="G8" t="n">
        <x:v>8</x:v>
      </x:c>
      <x:c r="H8" s="12" t="n">
        <x:v>46048</x:v>
      </x:c>
    </x:row>
    <x:row r="9">
      <x:c r="A9" t="str">
        <x:v>tram-008</x:v>
      </x:c>
      <x:c r="B9" t="str">
        <x:v>LK008</x:v>
      </x:c>
      <x:c r="C9" t="str">
        <x:f>TRIM(B9)</x:f>
        <x:v>LK008</x:v>
      </x:c>
      <x:c r="D9" t="str">
        <x:f>IFERROR(VLOOKUP(C9,'danh-muc-linh-kien'!$A$2:$D$9,2,FALSE),"Chưa cập nhật")</x:f>
        <x:v>Sensor Hub</x:v>
      </x:c>
      <x:c r="E9" s="10" t="n">
        <x:f>IFERROR(VLOOKUP(C9,'danh-muc-linh-kien'!$A$2:$D$9,3,FALSE),"")</x:f>
        <x:v>890000</x:v>
      </x:c>
      <x:c r="F9" t="str">
        <x:f>IFERROR(VLOOKUP(C9,'danh-muc-linh-kien'!$A$2:$D$9,4,FALSE),"")</x:f>
        <x:v>SSD</x:v>
      </x:c>
      <x:c r="G9" t="n">
        <x:v>4</x:v>
      </x:c>
      <x:c r="H9" s="12" t="n">
        <x:v>46051</x:v>
      </x:c>
    </x:row>
    <x:row r="10">
      <x:c r="A10" t="str">
        <x:v>tram-009</x:v>
      </x:c>
      <x:c r="B10" t="str">
        <x:v>LK001</x:v>
      </x:c>
      <x:c r="C10" t="str">
        <x:f>TRIM(B10)</x:f>
        <x:v>LK001</x:v>
      </x:c>
      <x:c r="D10" t="str">
        <x:f>IFERROR(VLOOKUP(C10,'danh-muc-linh-kien'!$A$2:$D$9,2,FALSE),"Chưa cập nhật")</x:f>
        <x:v>Gateway IoT</x:v>
      </x:c>
      <x:c r="E10" s="10" t="n">
        <x:f>IFERROR(VLOOKUP(C10,'danh-muc-linh-kien'!$A$2:$D$9,3,FALSE),"")</x:f>
        <x:v>1250000</x:v>
      </x:c>
      <x:c r="F10" t="str">
        <x:f>IFERROR(VLOOKUP(C10,'danh-muc-linh-kien'!$A$2:$D$9,4,FALSE),"")</x:f>
        <x:v>SSD</x:v>
      </x:c>
      <x:c r="G10" t="n">
        <x:v>4</x:v>
      </x:c>
      <x:c r="H10" s="12" t="n">
        <x:v>46054</x:v>
      </x:c>
    </x:row>
    <x:row r="11">
      <x:c r="A11" t="str">
        <x:v>tram-010</x:v>
      </x:c>
      <x:c r="B11" t="str">
        <x:v>LK002</x:v>
      </x:c>
      <x:c r="C11" t="str">
        <x:f>TRIM(B11)</x:f>
        <x:v>LK002</x:v>
      </x:c>
      <x:c r="D11" t="str">
        <x:f>IFERROR(VLOOKUP(C11,'danh-muc-linh-kien'!$A$2:$D$9,2,FALSE),"Chưa cập nhật")</x:f>
        <x:v>Mini PC Edge</x:v>
      </x:c>
      <x:c r="E11" s="10" t="n">
        <x:f>IFERROR(VLOOKUP(C11,'danh-muc-linh-kien'!$A$2:$D$9,3,FALSE),"")</x:f>
        <x:v>2850000</x:v>
      </x:c>
      <x:c r="F11" t="str">
        <x:f>IFERROR(VLOOKUP(C11,'danh-muc-linh-kien'!$A$2:$D$9,4,FALSE),"")</x:f>
        <x:v>SSD</x:v>
      </x:c>
      <x:c r="G11" t="n">
        <x:v>8</x:v>
      </x:c>
      <x:c r="H11" s="12" t="n">
        <x:v>46057</x:v>
      </x:c>
    </x:row>
    <x:row r="12">
      <x:c r="A12" t="str">
        <x:v>tram-011</x:v>
      </x:c>
      <x:c r="B12" t="str">
        <x:v>LK003</x:v>
      </x:c>
      <x:c r="C12" t="str">
        <x:f>TRIM(B12)</x:f>
        <x:v>LK003</x:v>
      </x:c>
      <x:c r="D12" t="str">
        <x:f>IFERROR(VLOOKUP(C12,'danh-muc-linh-kien'!$A$2:$D$9,2,FALSE),"Chưa cập nhật")</x:f>
        <x:v>Data Logger</x:v>
      </x:c>
      <x:c r="E12" s="10" t="n">
        <x:f>IFERROR(VLOOKUP(C12,'danh-muc-linh-kien'!$A$2:$D$9,3,FALSE),"")</x:f>
        <x:v>980000</x:v>
      </x:c>
      <x:c r="F12" t="str">
        <x:f>IFERROR(VLOOKUP(C12,'danh-muc-linh-kien'!$A$2:$D$9,4,FALSE),"")</x:f>
        <x:v>SSD</x:v>
      </x:c>
      <x:c r="G12" t="n">
        <x:v>8</x:v>
      </x:c>
      <x:c r="H12" s="12" t="n">
        <x:v>46060</x:v>
      </x:c>
    </x:row>
    <x:row r="13">
      <x:c r="A13" t="str">
        <x:v>tram-012</x:v>
      </x:c>
      <x:c r="B13" t="str">
        <x:v>LK004</x:v>
      </x:c>
      <x:c r="C13" t="str">
        <x:f>TRIM(B13)</x:f>
        <x:v>LK004</x:v>
      </x:c>
      <x:c r="D13" t="str">
        <x:f>IFERROR(VLOOKUP(C13,'danh-muc-linh-kien'!$A$2:$D$9,2,FALSE),"Chưa cập nhật")</x:f>
        <x:v>Gateway Legacy</x:v>
      </x:c>
      <x:c r="E13" s="10" t="n">
        <x:f>IFERROR(VLOOKUP(C13,'danh-muc-linh-kien'!$A$2:$D$9,3,FALSE),"")</x:f>
        <x:v>760000</x:v>
      </x:c>
      <x:c r="F13" t="str">
        <x:f>IFERROR(VLOOKUP(C13,'danh-muc-linh-kien'!$A$2:$D$9,4,FALSE),"")</x:f>
        <x:v>HDD</x:v>
      </x:c>
      <x:c r="G13" t="n">
        <x:v>16</x:v>
      </x:c>
      <x:c r="H13" s="12" t="n">
        <x:v>46063</x:v>
      </x:c>
    </x:row>
    <x:row r="14">
      <x:c r="A14" t="str">
        <x:v>tram-013</x:v>
      </x:c>
      <x:c r="B14" t="str">
        <x:v>LK005</x:v>
      </x:c>
      <x:c r="C14" t="str">
        <x:f>TRIM(B14)</x:f>
        <x:v>LK005</x:v>
      </x:c>
      <x:c r="D14" t="str">
        <x:f>IFERROR(VLOOKUP(C14,'danh-muc-linh-kien'!$A$2:$D$9,2,FALSE),"Chưa cập nhật")</x:f>
        <x:v>Control Box</x:v>
      </x:c>
      <x:c r="E14" s="10" t="n">
        <x:f>IFERROR(VLOOKUP(C14,'danh-muc-linh-kien'!$A$2:$D$9,3,FALSE),"")</x:f>
        <x:v>1450000</x:v>
      </x:c>
      <x:c r="F14" t="str">
        <x:f>IFERROR(VLOOKUP(C14,'danh-muc-linh-kien'!$A$2:$D$9,4,FALSE),"")</x:f>
        <x:v>SSD</x:v>
      </x:c>
      <x:c r="G14" t="n">
        <x:v>4</x:v>
      </x:c>
      <x:c r="H14" s="12" t="n">
        <x:v>46066</x:v>
      </x:c>
    </x:row>
    <x:row r="15">
      <x:c r="A15" t="str">
        <x:v>tram-014</x:v>
      </x:c>
      <x:c r="B15" t="str">
        <x:v>LK006</x:v>
      </x:c>
      <x:c r="C15" t="str">
        <x:f>TRIM(B15)</x:f>
        <x:v>LK006</x:v>
      </x:c>
      <x:c r="D15" t="str">
        <x:f>IFERROR(VLOOKUP(C15,'danh-muc-linh-kien'!$A$2:$D$9,2,FALSE),"Chưa cập nhật")</x:f>
        <x:v>Edge Server</x:v>
      </x:c>
      <x:c r="E15" s="10" t="n">
        <x:f>IFERROR(VLOOKUP(C15,'danh-muc-linh-kien'!$A$2:$D$9,3,FALSE),"")</x:f>
        <x:v>6200000</x:v>
      </x:c>
      <x:c r="F15" t="str">
        <x:f>IFERROR(VLOOKUP(C15,'danh-muc-linh-kien'!$A$2:$D$9,4,FALSE),"")</x:f>
        <x:v>SSD</x:v>
      </x:c>
      <x:c r="G15" t="n">
        <x:v>16</x:v>
      </x:c>
      <x:c r="H15" s="12" t="n">
        <x:v>46069</x:v>
      </x:c>
    </x:row>
    <x:row r="16">
      <x:c r="A16" t="str">
        <x:v>tram-015</x:v>
      </x:c>
      <x:c r="B16" t="str">
        <x:v>LK007</x:v>
      </x:c>
      <x:c r="C16" t="str">
        <x:f>TRIM(B16)</x:f>
        <x:v>LK007</x:v>
      </x:c>
      <x:c r="D16" t="str">
        <x:f>IFERROR(VLOOKUP(C16,'danh-muc-linh-kien'!$A$2:$D$9,2,FALSE),"Chưa cập nhật")</x:f>
        <x:v>Backup Node</x:v>
      </x:c>
      <x:c r="E16" s="10" t="n">
        <x:f>IFERROR(VLOOKUP(C16,'danh-muc-linh-kien'!$A$2:$D$9,3,FALSE),"")</x:f>
        <x:v>3100000</x:v>
      </x:c>
      <x:c r="F16" t="str">
        <x:f>IFERROR(VLOOKUP(C16,'danh-muc-linh-kien'!$A$2:$D$9,4,FALSE),"")</x:f>
        <x:v>HDD</x:v>
      </x:c>
      <x:c r="G16" t="n">
        <x:v>8</x:v>
      </x:c>
      <x:c r="H16" s="12" t="n">
        <x:v>46072</x:v>
      </x:c>
    </x:row>
    <x:row r="17">
      <x:c r="A17" t="str">
        <x:v>tram-016</x:v>
      </x:c>
      <x:c r="B17" t="str">
        <x:v>LK008</x:v>
      </x:c>
      <x:c r="C17" t="str">
        <x:f>TRIM(B17)</x:f>
        <x:v>LK008</x:v>
      </x:c>
      <x:c r="D17" t="str">
        <x:f>IFERROR(VLOOKUP(C17,'danh-muc-linh-kien'!$A$2:$D$9,2,FALSE),"Chưa cập nhật")</x:f>
        <x:v>Sensor Hub</x:v>
      </x:c>
      <x:c r="E17" s="10" t="n">
        <x:f>IFERROR(VLOOKUP(C17,'danh-muc-linh-kien'!$A$2:$D$9,3,FALSE),"")</x:f>
        <x:v>890000</x:v>
      </x:c>
      <x:c r="F17" t="str">
        <x:f>IFERROR(VLOOKUP(C17,'danh-muc-linh-kien'!$A$2:$D$9,4,FALSE),"")</x:f>
        <x:v>SSD</x:v>
      </x:c>
      <x:c r="G17" t="n">
        <x:v>4</x:v>
      </x:c>
      <x:c r="H17" s="12" t="n">
        <x:v>46075</x:v>
      </x:c>
    </x:row>
    <x:row r="18">
      <x:c r="A18" t="str">
        <x:v>tram-017</x:v>
      </x:c>
      <x:c r="B18" t="str">
        <x:v>LK001  </x:v>
      </x:c>
      <x:c r="C18" t="str">
        <x:f>TRIM(B18)</x:f>
        <x:v>LK001</x:v>
      </x:c>
      <x:c r="D18" t="str">
        <x:f>IFERROR(VLOOKUP(C18,'danh-muc-linh-kien'!$A$2:$D$9,2,FALSE),"Chưa cập nhật")</x:f>
        <x:v>Gateway IoT</x:v>
      </x:c>
      <x:c r="E18" s="10" t="n">
        <x:f>IFERROR(VLOOKUP(C18,'danh-muc-linh-kien'!$A$2:$D$9,3,FALSE),"")</x:f>
        <x:v>1250000</x:v>
      </x:c>
      <x:c r="F18" t="str">
        <x:f>IFERROR(VLOOKUP(C18,'danh-muc-linh-kien'!$A$2:$D$9,4,FALSE),"")</x:f>
        <x:v>SSD</x:v>
      </x:c>
      <x:c r="G18" t="n">
        <x:v>4</x:v>
      </x:c>
      <x:c r="H18" s="12" t="n">
        <x:v>46078</x:v>
      </x:c>
    </x:row>
    <x:row r="19">
      <x:c r="A19" t="str">
        <x:v>tram-018</x:v>
      </x:c>
      <x:c r="B19" t="str">
        <x:v>LK002</x:v>
      </x:c>
      <x:c r="C19" t="str">
        <x:f>TRIM(B19)</x:f>
        <x:v>LK002</x:v>
      </x:c>
      <x:c r="D19" t="str">
        <x:f>IFERROR(VLOOKUP(C19,'danh-muc-linh-kien'!$A$2:$D$9,2,FALSE),"Chưa cập nhật")</x:f>
        <x:v>Mini PC Edge</x:v>
      </x:c>
      <x:c r="E19" s="10" t="n">
        <x:f>IFERROR(VLOOKUP(C19,'danh-muc-linh-kien'!$A$2:$D$9,3,FALSE),"")</x:f>
        <x:v>2850000</x:v>
      </x:c>
      <x:c r="F19" t="str">
        <x:f>IFERROR(VLOOKUP(C19,'danh-muc-linh-kien'!$A$2:$D$9,4,FALSE),"")</x:f>
        <x:v>SSD</x:v>
      </x:c>
      <x:c r="G19" t="n">
        <x:v>8</x:v>
      </x:c>
      <x:c r="H19" s="12" t="n">
        <x:v>46081</x:v>
      </x:c>
    </x:row>
    <x:row r="20">
      <x:c r="A20" t="str">
        <x:v>tram-019</x:v>
      </x:c>
      <x:c r="B20" t="str">
        <x:v>LK003</x:v>
      </x:c>
      <x:c r="C20" t="str">
        <x:f>TRIM(B20)</x:f>
        <x:v>LK003</x:v>
      </x:c>
      <x:c r="D20" t="str">
        <x:f>IFERROR(VLOOKUP(C20,'danh-muc-linh-kien'!$A$2:$D$9,2,FALSE),"Chưa cập nhật")</x:f>
        <x:v>Data Logger</x:v>
      </x:c>
      <x:c r="E20" s="10" t="n">
        <x:f>IFERROR(VLOOKUP(C20,'danh-muc-linh-kien'!$A$2:$D$9,3,FALSE),"")</x:f>
        <x:v>980000</x:v>
      </x:c>
      <x:c r="F20" t="str">
        <x:f>IFERROR(VLOOKUP(C20,'danh-muc-linh-kien'!$A$2:$D$9,4,FALSE),"")</x:f>
        <x:v>SSD</x:v>
      </x:c>
      <x:c r="G20" t="n">
        <x:v>8</x:v>
      </x:c>
      <x:c r="H20" s="12" t="n">
        <x:v>46084</x:v>
      </x:c>
    </x:row>
    <x:row r="21">
      <x:c r="A21" t="str">
        <x:v>tram-020</x:v>
      </x:c>
      <x:c r="B21" t="str">
        <x:v>LK004</x:v>
      </x:c>
      <x:c r="C21" t="str">
        <x:f>TRIM(B21)</x:f>
        <x:v>LK004</x:v>
      </x:c>
      <x:c r="D21" t="str">
        <x:f>IFERROR(VLOOKUP(C21,'danh-muc-linh-kien'!$A$2:$D$9,2,FALSE),"Chưa cập nhật")</x:f>
        <x:v>Gateway Legacy</x:v>
      </x:c>
      <x:c r="E21" s="10" t="n">
        <x:f>IFERROR(VLOOKUP(C21,'danh-muc-linh-kien'!$A$2:$D$9,3,FALSE),"")</x:f>
        <x:v>760000</x:v>
      </x:c>
      <x:c r="F21" t="str">
        <x:f>IFERROR(VLOOKUP(C21,'danh-muc-linh-kien'!$A$2:$D$9,4,FALSE),"")</x:f>
        <x:v>HDD</x:v>
      </x:c>
      <x:c r="G21" t="n">
        <x:v>16</x:v>
      </x:c>
      <x:c r="H21" s="12" t="n">
        <x:v>46087</x:v>
      </x:c>
    </x:row>
    <x:row r="22">
      <x:c r="A22" t="str">
        <x:v>tram-021</x:v>
      </x:c>
      <x:c r="B22" t="str">
        <x:v>LK005</x:v>
      </x:c>
      <x:c r="C22" t="str">
        <x:f>TRIM(B22)</x:f>
        <x:v>LK005</x:v>
      </x:c>
      <x:c r="D22" t="str">
        <x:f>IFERROR(VLOOKUP(C22,'danh-muc-linh-kien'!$A$2:$D$9,2,FALSE),"Chưa cập nhật")</x:f>
        <x:v>Control Box</x:v>
      </x:c>
      <x:c r="E22" s="10" t="n">
        <x:f>IFERROR(VLOOKUP(C22,'danh-muc-linh-kien'!$A$2:$D$9,3,FALSE),"")</x:f>
        <x:v>1450000</x:v>
      </x:c>
      <x:c r="F22" t="str">
        <x:f>IFERROR(VLOOKUP(C22,'danh-muc-linh-kien'!$A$2:$D$9,4,FALSE),"")</x:f>
        <x:v>SSD</x:v>
      </x:c>
      <x:c r="G22" t="n">
        <x:v>4</x:v>
      </x:c>
      <x:c r="H22" s="12" t="n">
        <x:v>46090</x:v>
      </x:c>
    </x:row>
    <x:row r="23">
      <x:c r="A23" t="str">
        <x:v>tram-022</x:v>
      </x:c>
      <x:c r="B23" t="str">
        <x:v>LK006</x:v>
      </x:c>
      <x:c r="C23" t="str">
        <x:f>TRIM(B23)</x:f>
        <x:v>LK006</x:v>
      </x:c>
      <x:c r="D23" t="str">
        <x:f>IFERROR(VLOOKUP(C23,'danh-muc-linh-kien'!$A$2:$D$9,2,FALSE),"Chưa cập nhật")</x:f>
        <x:v>Edge Server</x:v>
      </x:c>
      <x:c r="E23" s="10" t="n">
        <x:f>IFERROR(VLOOKUP(C23,'danh-muc-linh-kien'!$A$2:$D$9,3,FALSE),"")</x:f>
        <x:v>6200000</x:v>
      </x:c>
      <x:c r="F23" t="str">
        <x:f>IFERROR(VLOOKUP(C23,'danh-muc-linh-kien'!$A$2:$D$9,4,FALSE),"")</x:f>
        <x:v>SSD</x:v>
      </x:c>
      <x:c r="G23" t="n">
        <x:v>16</x:v>
      </x:c>
      <x:c r="H23" s="12" t="n">
        <x:v>46093</x:v>
      </x:c>
    </x:row>
    <x:row r="24">
      <x:c r="A24" t="str">
        <x:v>tram-023</x:v>
      </x:c>
      <x:c r="B24" t="str">
        <x:v>LK007</x:v>
      </x:c>
      <x:c r="C24" t="str">
        <x:f>TRIM(B24)</x:f>
        <x:v>LK007</x:v>
      </x:c>
      <x:c r="D24" t="str">
        <x:f>IFERROR(VLOOKUP(C24,'danh-muc-linh-kien'!$A$2:$D$9,2,FALSE),"Chưa cập nhật")</x:f>
        <x:v>Backup Node</x:v>
      </x:c>
      <x:c r="E24" s="10" t="n">
        <x:f>IFERROR(VLOOKUP(C24,'danh-muc-linh-kien'!$A$2:$D$9,3,FALSE),"")</x:f>
        <x:v>3100000</x:v>
      </x:c>
      <x:c r="F24" t="str">
        <x:f>IFERROR(VLOOKUP(C24,'danh-muc-linh-kien'!$A$2:$D$9,4,FALSE),"")</x:f>
        <x:v>HDD</x:v>
      </x:c>
      <x:c r="G24" t="n">
        <x:v>8</x:v>
      </x:c>
      <x:c r="H24" s="12" t="n">
        <x:v>46096</x:v>
      </x:c>
    </x:row>
    <x:row r="25">
      <x:c r="A25" t="str">
        <x:v>tram-024</x:v>
      </x:c>
      <x:c r="B25" t="str">
        <x:v>LK008</x:v>
      </x:c>
      <x:c r="C25" t="str">
        <x:f>TRIM(B25)</x:f>
        <x:v>LK008</x:v>
      </x:c>
      <x:c r="D25" t="str">
        <x:f>IFERROR(VLOOKUP(C25,'danh-muc-linh-kien'!$A$2:$D$9,2,FALSE),"Chưa cập nhật")</x:f>
        <x:v>Sensor Hub</x:v>
      </x:c>
      <x:c r="E25" s="10" t="n">
        <x:f>IFERROR(VLOOKUP(C25,'danh-muc-linh-kien'!$A$2:$D$9,3,FALSE),"")</x:f>
        <x:v>890000</x:v>
      </x:c>
      <x:c r="F25" t="str">
        <x:f>IFERROR(VLOOKUP(C25,'danh-muc-linh-kien'!$A$2:$D$9,4,FALSE),"")</x:f>
        <x:v>SSD</x:v>
      </x:c>
      <x:c r="G25" t="n">
        <x:v>4</x:v>
      </x:c>
      <x:c r="H25" s="12" t="n">
        <x:v>46099</x:v>
      </x:c>
    </x:row>
    <x:row r="26">
      <x:c r="A26" t="str">
        <x:v>tram-025</x:v>
      </x:c>
      <x:c r="B26" t="str">
        <x:v>LK001</x:v>
      </x:c>
      <x:c r="C26" t="str">
        <x:f>TRIM(B26)</x:f>
        <x:v>LK001</x:v>
      </x:c>
      <x:c r="D26" t="str">
        <x:f>IFERROR(VLOOKUP(C26,'danh-muc-linh-kien'!$A$2:$D$9,2,FALSE),"Chưa cập nhật")</x:f>
        <x:v>Gateway IoT</x:v>
      </x:c>
      <x:c r="E26" s="10" t="n">
        <x:f>IFERROR(VLOOKUP(C26,'danh-muc-linh-kien'!$A$2:$D$9,3,FALSE),"")</x:f>
        <x:v>1250000</x:v>
      </x:c>
      <x:c r="F26" t="str">
        <x:f>IFERROR(VLOOKUP(C26,'danh-muc-linh-kien'!$A$2:$D$9,4,FALSE),"")</x:f>
        <x:v>SSD</x:v>
      </x:c>
      <x:c r="G26" t="n">
        <x:v>4</x:v>
      </x:c>
      <x:c r="H26" s="12" t="n">
        <x:v>46102</x:v>
      </x:c>
    </x:row>
    <x:row r="27">
      <x:c r="A27" t="str">
        <x:v>tram-026</x:v>
      </x:c>
      <x:c r="B27" t="str">
        <x:v>LK002</x:v>
      </x:c>
      <x:c r="C27" t="str">
        <x:f>TRIM(B27)</x:f>
        <x:v>LK002</x:v>
      </x:c>
      <x:c r="D27" t="str">
        <x:f>IFERROR(VLOOKUP(C27,'danh-muc-linh-kien'!$A$2:$D$9,2,FALSE),"Chưa cập nhật")</x:f>
        <x:v>Mini PC Edge</x:v>
      </x:c>
      <x:c r="E27" s="10" t="n">
        <x:f>IFERROR(VLOOKUP(C27,'danh-muc-linh-kien'!$A$2:$D$9,3,FALSE),"")</x:f>
        <x:v>2850000</x:v>
      </x:c>
      <x:c r="F27" t="str">
        <x:f>IFERROR(VLOOKUP(C27,'danh-muc-linh-kien'!$A$2:$D$9,4,FALSE),"")</x:f>
        <x:v>SSD</x:v>
      </x:c>
      <x:c r="G27" t="n">
        <x:v>8</x:v>
      </x:c>
      <x:c r="H27" s="12" t="n">
        <x:v>46105</x:v>
      </x:c>
    </x:row>
    <x:row r="28">
      <x:c r="A28" t="str">
        <x:v>tram-027</x:v>
      </x:c>
      <x:c r="B28" t="str">
        <x:v>LK003</x:v>
      </x:c>
      <x:c r="C28" t="str">
        <x:f>TRIM(B28)</x:f>
        <x:v>LK003</x:v>
      </x:c>
      <x:c r="D28" t="str">
        <x:f>IFERROR(VLOOKUP(C28,'danh-muc-linh-kien'!$A$2:$D$9,2,FALSE),"Chưa cập nhật")</x:f>
        <x:v>Data Logger</x:v>
      </x:c>
      <x:c r="E28" s="10" t="n">
        <x:f>IFERROR(VLOOKUP(C28,'danh-muc-linh-kien'!$A$2:$D$9,3,FALSE),"")</x:f>
        <x:v>980000</x:v>
      </x:c>
      <x:c r="F28" t="str">
        <x:f>IFERROR(VLOOKUP(C28,'danh-muc-linh-kien'!$A$2:$D$9,4,FALSE),"")</x:f>
        <x:v>SSD</x:v>
      </x:c>
      <x:c r="G28" t="n">
        <x:v>8</x:v>
      </x:c>
      <x:c r="H28" s="12" t="n">
        <x:v>46108</x:v>
      </x:c>
    </x:row>
    <x:row r="29">
      <x:c r="A29" t="str">
        <x:v>tram-028</x:v>
      </x:c>
      <x:c r="B29" t="str">
        <x:v>LK004</x:v>
      </x:c>
      <x:c r="C29" t="str">
        <x:f>TRIM(B29)</x:f>
        <x:v>LK004</x:v>
      </x:c>
      <x:c r="D29" t="str">
        <x:f>IFERROR(VLOOKUP(C29,'danh-muc-linh-kien'!$A$2:$D$9,2,FALSE),"Chưa cập nhật")</x:f>
        <x:v>Gateway Legacy</x:v>
      </x:c>
      <x:c r="E29" s="10" t="n">
        <x:f>IFERROR(VLOOKUP(C29,'danh-muc-linh-kien'!$A$2:$D$9,3,FALSE),"")</x:f>
        <x:v>760000</x:v>
      </x:c>
      <x:c r="F29" t="str">
        <x:f>IFERROR(VLOOKUP(C29,'danh-muc-linh-kien'!$A$2:$D$9,4,FALSE),"")</x:f>
        <x:v>HDD</x:v>
      </x:c>
      <x:c r="G29" t="n">
        <x:v>16</x:v>
      </x:c>
      <x:c r="H29" s="12" t="n">
        <x:v>46111</x:v>
      </x:c>
    </x:row>
    <x:row r="30">
      <x:c r="A30" t="str">
        <x:v>tram-029</x:v>
      </x:c>
      <x:c r="B30" t="str">
        <x:v>LK005</x:v>
      </x:c>
      <x:c r="C30" t="str">
        <x:f>TRIM(B30)</x:f>
        <x:v>LK005</x:v>
      </x:c>
      <x:c r="D30" t="str">
        <x:f>IFERROR(VLOOKUP(C30,'danh-muc-linh-kien'!$A$2:$D$9,2,FALSE),"Chưa cập nhật")</x:f>
        <x:v>Control Box</x:v>
      </x:c>
      <x:c r="E30" s="10" t="n">
        <x:f>IFERROR(VLOOKUP(C30,'danh-muc-linh-kien'!$A$2:$D$9,3,FALSE),"")</x:f>
        <x:v>1450000</x:v>
      </x:c>
      <x:c r="F30" t="str">
        <x:f>IFERROR(VLOOKUP(C30,'danh-muc-linh-kien'!$A$2:$D$9,4,FALSE),"")</x:f>
        <x:v>SSD</x:v>
      </x:c>
      <x:c r="G30" t="n">
        <x:v>4</x:v>
      </x:c>
      <x:c r="H30" s="12" t="n">
        <x:v>46114</x:v>
      </x:c>
    </x:row>
    <x:row r="31">
      <x:c r="A31" t="str">
        <x:v>tram-030</x:v>
      </x:c>
      <x:c r="B31" t="str">
        <x:v>LK006</x:v>
      </x:c>
      <x:c r="C31" t="str">
        <x:f>TRIM(B31)</x:f>
        <x:v>LK006</x:v>
      </x:c>
      <x:c r="D31" t="str">
        <x:f>IFERROR(VLOOKUP(C31,'danh-muc-linh-kien'!$A$2:$D$9,2,FALSE),"Chưa cập nhật")</x:f>
        <x:v>Edge Server</x:v>
      </x:c>
      <x:c r="E31" s="10" t="n">
        <x:f>IFERROR(VLOOKUP(C31,'danh-muc-linh-kien'!$A$2:$D$9,3,FALSE),"")</x:f>
        <x:v>6200000</x:v>
      </x:c>
      <x:c r="F31" t="str">
        <x:f>IFERROR(VLOOKUP(C31,'danh-muc-linh-kien'!$A$2:$D$9,4,FALSE),"")</x:f>
        <x:v>SSD</x:v>
      </x:c>
      <x:c r="G31" t="n">
        <x:v>16</x:v>
      </x:c>
      <x:c r="H31" s="12" t="n">
        <x:v>46117</x:v>
      </x:c>
    </x:row>
    <x:row r="32">
      <x:c r="A32" t="str">
        <x:v>tram-031</x:v>
      </x:c>
      <x:c r="B32" t="str">
        <x:v>LK999 </x:v>
      </x:c>
      <x:c r="C32" t="str">
        <x:f>TRIM(B32)</x:f>
        <x:v>LK999</x:v>
      </x:c>
      <x:c r="D32" t="str">
        <x:f>IFERROR(VLOOKUP(C32,'danh-muc-linh-kien'!$A$2:$D$9,2,FALSE),"Chưa cập nhật")</x:f>
        <x:v>Chưa cập nhật</x:v>
      </x:c>
      <x:c r="E32" s="10" t="str">
        <x:f>IFERROR(VLOOKUP(C32,'danh-muc-linh-kien'!$A$2:$D$9,3,FALSE),"")</x:f>
      </x:c>
      <x:c r="F32" t="str">
        <x:f>IFERROR(VLOOKUP(C32,'danh-muc-linh-kien'!$A$2:$D$9,4,FALSE),"")</x:f>
      </x:c>
      <x:c r="G32" t="n">
        <x:v>8</x:v>
      </x:c>
      <x:c r="H32" s="12" t="n">
        <x:v>46120</x:v>
      </x:c>
    </x:row>
    <x:row r="33">
      <x:c r="A33" t="str">
        <x:v>tram-032</x:v>
      </x:c>
      <x:c r="B33" t="str">
        <x:v>LK008</x:v>
      </x:c>
      <x:c r="C33" t="str">
        <x:f>TRIM(B33)</x:f>
        <x:v>LK008</x:v>
      </x:c>
      <x:c r="D33" t="str">
        <x:f>IFERROR(VLOOKUP(C33,'danh-muc-linh-kien'!$A$2:$D$9,2,FALSE),"Chưa cập nhật")</x:f>
        <x:v>Sensor Hub</x:v>
      </x:c>
      <x:c r="E33" s="10" t="n">
        <x:f>IFERROR(VLOOKUP(C33,'danh-muc-linh-kien'!$A$2:$D$9,3,FALSE),"")</x:f>
        <x:v>890000</x:v>
      </x:c>
      <x:c r="F33" t="str">
        <x:f>IFERROR(VLOOKUP(C33,'danh-muc-linh-kien'!$A$2:$D$9,4,FALSE),"")</x:f>
        <x:v>SSD</x:v>
      </x:c>
      <x:c r="G33" t="n">
        <x:v>4</x:v>
      </x:c>
      <x:c r="H33" s="12" t="n">
        <x:v>46123</x:v>
      </x:c>
    </x:row>
    <x:row r="34">
      <x:c r="A34" t="str">
        <x:v>tram-033</x:v>
      </x:c>
      <x:c r="B34" t="str">
        <x:v>LK001</x:v>
      </x:c>
      <x:c r="C34" t="str">
        <x:f>TRIM(B34)</x:f>
        <x:v>LK001</x:v>
      </x:c>
      <x:c r="D34" t="str">
        <x:f>IFERROR(VLOOKUP(C34,'danh-muc-linh-kien'!$A$2:$D$9,2,FALSE),"Chưa cập nhật")</x:f>
        <x:v>Gateway IoT</x:v>
      </x:c>
      <x:c r="E34" s="10" t="n">
        <x:f>IFERROR(VLOOKUP(C34,'danh-muc-linh-kien'!$A$2:$D$9,3,FALSE),"")</x:f>
        <x:v>1250000</x:v>
      </x:c>
      <x:c r="F34" t="str">
        <x:f>IFERROR(VLOOKUP(C34,'danh-muc-linh-kien'!$A$2:$D$9,4,FALSE),"")</x:f>
        <x:v>SSD</x:v>
      </x:c>
      <x:c r="G34" t="n">
        <x:v>4</x:v>
      </x:c>
      <x:c r="H34" s="12" t="n">
        <x:v>46126</x:v>
      </x:c>
    </x:row>
    <x:row r="35">
      <x:c r="A35" t="str">
        <x:v>tram-034</x:v>
      </x:c>
      <x:c r="B35" t="str">
        <x:v>LK002  </x:v>
      </x:c>
      <x:c r="C35" t="str">
        <x:f>TRIM(B35)</x:f>
        <x:v>LK002</x:v>
      </x:c>
      <x:c r="D35" t="str">
        <x:f>IFERROR(VLOOKUP(C35,'danh-muc-linh-kien'!$A$2:$D$9,2,FALSE),"Chưa cập nhật")</x:f>
        <x:v>Mini PC Edge</x:v>
      </x:c>
      <x:c r="E35" s="10" t="n">
        <x:f>IFERROR(VLOOKUP(C35,'danh-muc-linh-kien'!$A$2:$D$9,3,FALSE),"")</x:f>
        <x:v>2850000</x:v>
      </x:c>
      <x:c r="F35" t="str">
        <x:f>IFERROR(VLOOKUP(C35,'danh-muc-linh-kien'!$A$2:$D$9,4,FALSE),"")</x:f>
        <x:v>SSD</x:v>
      </x:c>
      <x:c r="G35" t="n">
        <x:v>8</x:v>
      </x:c>
      <x:c r="H35" s="12" t="n">
        <x:v>46129</x:v>
      </x:c>
    </x:row>
    <x:row r="36">
      <x:c r="A36" t="str">
        <x:v>tram-035</x:v>
      </x:c>
      <x:c r="B36" t="str">
        <x:v>LK003</x:v>
      </x:c>
      <x:c r="C36" t="str">
        <x:f>TRIM(B36)</x:f>
        <x:v>LK003</x:v>
      </x:c>
      <x:c r="D36" t="str">
        <x:f>IFERROR(VLOOKUP(C36,'danh-muc-linh-kien'!$A$2:$D$9,2,FALSE),"Chưa cập nhật")</x:f>
        <x:v>Data Logger</x:v>
      </x:c>
      <x:c r="E36" s="10" t="n">
        <x:f>IFERROR(VLOOKUP(C36,'danh-muc-linh-kien'!$A$2:$D$9,3,FALSE),"")</x:f>
        <x:v>980000</x:v>
      </x:c>
      <x:c r="F36" t="str">
        <x:f>IFERROR(VLOOKUP(C36,'danh-muc-linh-kien'!$A$2:$D$9,4,FALSE),"")</x:f>
        <x:v>SSD</x:v>
      </x:c>
      <x:c r="G36" t="n">
        <x:v>8</x:v>
      </x:c>
      <x:c r="H36" s="12" t="n">
        <x:v>46132</x:v>
      </x:c>
    </x:row>
    <x:row r="37">
      <x:c r="A37" t="str">
        <x:v>tram-036</x:v>
      </x:c>
      <x:c r="B37" t="str">
        <x:v>LK004</x:v>
      </x:c>
      <x:c r="C37" t="str">
        <x:f>TRIM(B37)</x:f>
        <x:v>LK004</x:v>
      </x:c>
      <x:c r="D37" t="str">
        <x:f>IFERROR(VLOOKUP(C37,'danh-muc-linh-kien'!$A$2:$D$9,2,FALSE),"Chưa cập nhật")</x:f>
        <x:v>Gateway Legacy</x:v>
      </x:c>
      <x:c r="E37" s="10" t="n">
        <x:f>IFERROR(VLOOKUP(C37,'danh-muc-linh-kien'!$A$2:$D$9,3,FALSE),"")</x:f>
        <x:v>760000</x:v>
      </x:c>
      <x:c r="F37" t="str">
        <x:f>IFERROR(VLOOKUP(C37,'danh-muc-linh-kien'!$A$2:$D$9,4,FALSE),"")</x:f>
        <x:v>HDD</x:v>
      </x:c>
      <x:c r="G37" t="n">
        <x:v>16</x:v>
      </x:c>
      <x:c r="H37" s="12" t="n">
        <x:v>46135</x:v>
      </x:c>
    </x:row>
    <x:row r="38">
      <x:c r="A38" t="str">
        <x:v>tram-037</x:v>
      </x:c>
      <x:c r="B38" t="str">
        <x:v>LK005</x:v>
      </x:c>
      <x:c r="C38" t="str">
        <x:f>TRIM(B38)</x:f>
        <x:v>LK005</x:v>
      </x:c>
      <x:c r="D38" t="str">
        <x:f>IFERROR(VLOOKUP(C38,'danh-muc-linh-kien'!$A$2:$D$9,2,FALSE),"Chưa cập nhật")</x:f>
        <x:v>Control Box</x:v>
      </x:c>
      <x:c r="E38" s="10" t="n">
        <x:f>IFERROR(VLOOKUP(C38,'danh-muc-linh-kien'!$A$2:$D$9,3,FALSE),"")</x:f>
        <x:v>1450000</x:v>
      </x:c>
      <x:c r="F38" t="str">
        <x:f>IFERROR(VLOOKUP(C38,'danh-muc-linh-kien'!$A$2:$D$9,4,FALSE),"")</x:f>
        <x:v>SSD</x:v>
      </x:c>
      <x:c r="G38" t="n">
        <x:v>4</x:v>
      </x:c>
      <x:c r="H38" s="12" t="n">
        <x:v>46138</x:v>
      </x:c>
    </x:row>
    <x:row r="39">
      <x:c r="A39" t="str">
        <x:v>tram-038</x:v>
      </x:c>
      <x:c r="B39" t="str">
        <x:v>LK006</x:v>
      </x:c>
      <x:c r="C39" t="str">
        <x:f>TRIM(B39)</x:f>
        <x:v>LK006</x:v>
      </x:c>
      <x:c r="D39" t="str">
        <x:f>IFERROR(VLOOKUP(C39,'danh-muc-linh-kien'!$A$2:$D$9,2,FALSE),"Chưa cập nhật")</x:f>
        <x:v>Edge Server</x:v>
      </x:c>
      <x:c r="E39" s="10" t="n">
        <x:f>IFERROR(VLOOKUP(C39,'danh-muc-linh-kien'!$A$2:$D$9,3,FALSE),"")</x:f>
        <x:v>6200000</x:v>
      </x:c>
      <x:c r="F39" t="str">
        <x:f>IFERROR(VLOOKUP(C39,'danh-muc-linh-kien'!$A$2:$D$9,4,FALSE),"")</x:f>
        <x:v>SSD</x:v>
      </x:c>
      <x:c r="G39" t="n">
        <x:v>16</x:v>
      </x:c>
      <x:c r="H39" s="12" t="n">
        <x:v>46141</x:v>
      </x:c>
    </x:row>
    <x:row r="40">
      <x:c r="A40" t="str">
        <x:v>tram-039</x:v>
      </x:c>
      <x:c r="B40" t="str">
        <x:v>LK007</x:v>
      </x:c>
      <x:c r="C40" t="str">
        <x:f>TRIM(B40)</x:f>
        <x:v>LK007</x:v>
      </x:c>
      <x:c r="D40" t="str">
        <x:f>IFERROR(VLOOKUP(C40,'danh-muc-linh-kien'!$A$2:$D$9,2,FALSE),"Chưa cập nhật")</x:f>
        <x:v>Backup Node</x:v>
      </x:c>
      <x:c r="E40" s="10" t="n">
        <x:f>IFERROR(VLOOKUP(C40,'danh-muc-linh-kien'!$A$2:$D$9,3,FALSE),"")</x:f>
        <x:v>3100000</x:v>
      </x:c>
      <x:c r="F40" t="str">
        <x:f>IFERROR(VLOOKUP(C40,'danh-muc-linh-kien'!$A$2:$D$9,4,FALSE),"")</x:f>
        <x:v>HDD</x:v>
      </x:c>
      <x:c r="G40" t="n">
        <x:v>8</x:v>
      </x:c>
      <x:c r="H40" s="12" t="n">
        <x:v>46144</x:v>
      </x:c>
    </x:row>
    <x:row r="41">
      <x:c r="A41" t="str">
        <x:v>tram-040</x:v>
      </x:c>
      <x:c r="B41" t="str">
        <x:v>LK008</x:v>
      </x:c>
      <x:c r="C41" t="str">
        <x:f>TRIM(B41)</x:f>
        <x:v>LK008</x:v>
      </x:c>
      <x:c r="D41" t="str">
        <x:f>IFERROR(VLOOKUP(C41,'danh-muc-linh-kien'!$A$2:$D$9,2,FALSE),"Chưa cập nhật")</x:f>
        <x:v>Sensor Hub</x:v>
      </x:c>
      <x:c r="E41" s="10" t="n">
        <x:f>IFERROR(VLOOKUP(C41,'danh-muc-linh-kien'!$A$2:$D$9,3,FALSE),"")</x:f>
        <x:v>890000</x:v>
      </x:c>
      <x:c r="F41" t="str">
        <x:f>IFERROR(VLOOKUP(C41,'danh-muc-linh-kien'!$A$2:$D$9,4,FALSE),"")</x:f>
        <x:v>SSD</x:v>
      </x:c>
      <x:c r="G41" t="n">
        <x:v>4</x:v>
      </x:c>
      <x:c r="H41" s="12" t="n">
        <x:v>46147</x:v>
      </x:c>
    </x:row>
    <x:row r="42">
      <x:c r="A42" t="str">
        <x:v>tram-041</x:v>
      </x:c>
      <x:c r="B42" t="str">
        <x:v>LK001</x:v>
      </x:c>
      <x:c r="C42" t="str">
        <x:f>TRIM(B42)</x:f>
        <x:v>LK001</x:v>
      </x:c>
      <x:c r="D42" t="str">
        <x:f>IFERROR(VLOOKUP(C42,'danh-muc-linh-kien'!$A$2:$D$9,2,FALSE),"Chưa cập nhật")</x:f>
        <x:v>Gateway IoT</x:v>
      </x:c>
      <x:c r="E42" s="10" t="n">
        <x:f>IFERROR(VLOOKUP(C42,'danh-muc-linh-kien'!$A$2:$D$9,3,FALSE),"")</x:f>
        <x:v>1250000</x:v>
      </x:c>
      <x:c r="F42" t="str">
        <x:f>IFERROR(VLOOKUP(C42,'danh-muc-linh-kien'!$A$2:$D$9,4,FALSE),"")</x:f>
        <x:v>SSD</x:v>
      </x:c>
      <x:c r="G42" t="n">
        <x:v>4</x:v>
      </x:c>
      <x:c r="H42" s="12" t="n">
        <x:v>46150</x:v>
      </x:c>
    </x:row>
    <x:row r="43">
      <x:c r="A43" t="str">
        <x:v>tram-042</x:v>
      </x:c>
      <x:c r="B43" t="str">
        <x:v>LK002</x:v>
      </x:c>
      <x:c r="C43" t="str">
        <x:f>TRIM(B43)</x:f>
        <x:v>LK002</x:v>
      </x:c>
      <x:c r="D43" t="str">
        <x:f>IFERROR(VLOOKUP(C43,'danh-muc-linh-kien'!$A$2:$D$9,2,FALSE),"Chưa cập nhật")</x:f>
        <x:v>Mini PC Edge</x:v>
      </x:c>
      <x:c r="E43" s="10" t="n">
        <x:f>IFERROR(VLOOKUP(C43,'danh-muc-linh-kien'!$A$2:$D$9,3,FALSE),"")</x:f>
        <x:v>2850000</x:v>
      </x:c>
      <x:c r="F43" t="str">
        <x:f>IFERROR(VLOOKUP(C43,'danh-muc-linh-kien'!$A$2:$D$9,4,FALSE),"")</x:f>
        <x:v>SSD</x:v>
      </x:c>
      <x:c r="G43" t="n">
        <x:v>8</x:v>
      </x:c>
      <x:c r="H43" s="12" t="n">
        <x:v>46153</x:v>
      </x:c>
    </x:row>
    <x:row r="44">
      <x:c r="A44" t="str">
        <x:v>tram-043</x:v>
      </x:c>
      <x:c r="B44" t="str">
        <x:v>LK003</x:v>
      </x:c>
      <x:c r="C44" t="str">
        <x:f>TRIM(B44)</x:f>
        <x:v>LK003</x:v>
      </x:c>
      <x:c r="D44" t="str">
        <x:f>IFERROR(VLOOKUP(C44,'danh-muc-linh-kien'!$A$2:$D$9,2,FALSE),"Chưa cập nhật")</x:f>
        <x:v>Data Logger</x:v>
      </x:c>
      <x:c r="E44" s="10" t="n">
        <x:f>IFERROR(VLOOKUP(C44,'danh-muc-linh-kien'!$A$2:$D$9,3,FALSE),"")</x:f>
        <x:v>980000</x:v>
      </x:c>
      <x:c r="F44" t="str">
        <x:f>IFERROR(VLOOKUP(C44,'danh-muc-linh-kien'!$A$2:$D$9,4,FALSE),"")</x:f>
        <x:v>SSD</x:v>
      </x:c>
      <x:c r="G44" t="n">
        <x:v>8</x:v>
      </x:c>
      <x:c r="H44" s="12" t="n">
        <x:v>46156</x:v>
      </x:c>
    </x:row>
    <x:row r="45">
      <x:c r="A45" t="str">
        <x:v>tram-044</x:v>
      </x:c>
      <x:c r="B45" t="str">
        <x:v>LK004</x:v>
      </x:c>
      <x:c r="C45" t="str">
        <x:f>TRIM(B45)</x:f>
        <x:v>LK004</x:v>
      </x:c>
      <x:c r="D45" t="str">
        <x:f>IFERROR(VLOOKUP(C45,'danh-muc-linh-kien'!$A$2:$D$9,2,FALSE),"Chưa cập nhật")</x:f>
        <x:v>Gateway Legacy</x:v>
      </x:c>
      <x:c r="E45" s="10" t="n">
        <x:f>IFERROR(VLOOKUP(C45,'danh-muc-linh-kien'!$A$2:$D$9,3,FALSE),"")</x:f>
        <x:v>760000</x:v>
      </x:c>
      <x:c r="F45" t="str">
        <x:f>IFERROR(VLOOKUP(C45,'danh-muc-linh-kien'!$A$2:$D$9,4,FALSE),"")</x:f>
        <x:v>HDD</x:v>
      </x:c>
      <x:c r="G45" t="n">
        <x:v>16</x:v>
      </x:c>
      <x:c r="H45" s="12" t="n">
        <x:v>46159</x:v>
      </x:c>
    </x:row>
    <x:row r="46">
      <x:c r="A46" t="str">
        <x:v>tram-045</x:v>
      </x:c>
      <x:c r="B46" t="str">
        <x:v>LK005</x:v>
      </x:c>
      <x:c r="C46" t="str">
        <x:f>TRIM(B46)</x:f>
        <x:v>LK005</x:v>
      </x:c>
      <x:c r="D46" t="str">
        <x:f>IFERROR(VLOOKUP(C46,'danh-muc-linh-kien'!$A$2:$D$9,2,FALSE),"Chưa cập nhật")</x:f>
        <x:v>Control Box</x:v>
      </x:c>
      <x:c r="E46" s="10" t="n">
        <x:f>IFERROR(VLOOKUP(C46,'danh-muc-linh-kien'!$A$2:$D$9,3,FALSE),"")</x:f>
        <x:v>1450000</x:v>
      </x:c>
      <x:c r="F46" t="str">
        <x:f>IFERROR(VLOOKUP(C46,'danh-muc-linh-kien'!$A$2:$D$9,4,FALSE),"")</x:f>
        <x:v>SSD</x:v>
      </x:c>
      <x:c r="G46" t="n">
        <x:v>4</x:v>
      </x:c>
      <x:c r="H46" s="12" t="n">
        <x:v>46162</x:v>
      </x:c>
    </x:row>
    <x:row r="47">
      <x:c r="A47" t="str">
        <x:v>tram-046</x:v>
      </x:c>
      <x:c r="B47" t="str">
        <x:v>LK006</x:v>
      </x:c>
      <x:c r="C47" t="str">
        <x:f>TRIM(B47)</x:f>
        <x:v>LK006</x:v>
      </x:c>
      <x:c r="D47" t="str">
        <x:f>IFERROR(VLOOKUP(C47,'danh-muc-linh-kien'!$A$2:$D$9,2,FALSE),"Chưa cập nhật")</x:f>
        <x:v>Edge Server</x:v>
      </x:c>
      <x:c r="E47" s="10" t="n">
        <x:f>IFERROR(VLOOKUP(C47,'danh-muc-linh-kien'!$A$2:$D$9,3,FALSE),"")</x:f>
        <x:v>6200000</x:v>
      </x:c>
      <x:c r="F47" t="str">
        <x:f>IFERROR(VLOOKUP(C47,'danh-muc-linh-kien'!$A$2:$D$9,4,FALSE),"")</x:f>
        <x:v>SSD</x:v>
      </x:c>
      <x:c r="G47" t="n">
        <x:v>16</x:v>
      </x:c>
      <x:c r="H47" s="12" t="n">
        <x:v>46165</x:v>
      </x:c>
    </x:row>
    <x:row r="48">
      <x:c r="A48" t="str">
        <x:v>tram-047</x:v>
      </x:c>
      <x:c r="B48" t="str">
        <x:v>LK007</x:v>
      </x:c>
      <x:c r="C48" t="str">
        <x:f>TRIM(B48)</x:f>
        <x:v>LK007</x:v>
      </x:c>
      <x:c r="D48" t="str">
        <x:f>IFERROR(VLOOKUP(C48,'danh-muc-linh-kien'!$A$2:$D$9,2,FALSE),"Chưa cập nhật")</x:f>
        <x:v>Backup Node</x:v>
      </x:c>
      <x:c r="E48" s="10" t="n">
        <x:f>IFERROR(VLOOKUP(C48,'danh-muc-linh-kien'!$A$2:$D$9,3,FALSE),"")</x:f>
        <x:v>3100000</x:v>
      </x:c>
      <x:c r="F48" t="str">
        <x:f>IFERROR(VLOOKUP(C48,'danh-muc-linh-kien'!$A$2:$D$9,4,FALSE),"")</x:f>
        <x:v>HDD</x:v>
      </x:c>
      <x:c r="G48" t="n">
        <x:v>8</x:v>
      </x:c>
      <x:c r="H48" s="12" t="n">
        <x:v>46168</x:v>
      </x:c>
    </x:row>
    <x:row r="49">
      <x:c r="A49" t="str">
        <x:v>tram-048</x:v>
      </x:c>
      <x:c r="B49" t="str">
        <x:v>LK008</x:v>
      </x:c>
      <x:c r="C49" t="str">
        <x:f>TRIM(B49)</x:f>
        <x:v>LK008</x:v>
      </x:c>
      <x:c r="D49" t="str">
        <x:f>IFERROR(VLOOKUP(C49,'danh-muc-linh-kien'!$A$2:$D$9,2,FALSE),"Chưa cập nhật")</x:f>
        <x:v>Sensor Hub</x:v>
      </x:c>
      <x:c r="E49" s="10" t="n">
        <x:f>IFERROR(VLOOKUP(C49,'danh-muc-linh-kien'!$A$2:$D$9,3,FALSE),"")</x:f>
        <x:v>890000</x:v>
      </x:c>
      <x:c r="F49" t="str">
        <x:f>IFERROR(VLOOKUP(C49,'danh-muc-linh-kien'!$A$2:$D$9,4,FALSE),"")</x:f>
        <x:v>SSD</x:v>
      </x:c>
      <x:c r="G49" t="n">
        <x:v>4</x:v>
      </x:c>
      <x:c r="H49" s="12" t="n">
        <x:v>46171</x:v>
      </x:c>
    </x:row>
    <x:row r="50">
      <x:c r="A50" t="str">
        <x:v>tram-049</x:v>
      </x:c>
      <x:c r="B50" t="str">
        <x:v>LK001</x:v>
      </x:c>
      <x:c r="C50" t="str">
        <x:f>TRIM(B50)</x:f>
        <x:v>LK001</x:v>
      </x:c>
      <x:c r="D50" t="str">
        <x:f>IFERROR(VLOOKUP(C50,'danh-muc-linh-kien'!$A$2:$D$9,2,FALSE),"Chưa cập nhật")</x:f>
        <x:v>Gateway IoT</x:v>
      </x:c>
      <x:c r="E50" s="10" t="n">
        <x:f>IFERROR(VLOOKUP(C50,'danh-muc-linh-kien'!$A$2:$D$9,3,FALSE),"")</x:f>
        <x:v>1250000</x:v>
      </x:c>
      <x:c r="F50" t="str">
        <x:f>IFERROR(VLOOKUP(C50,'danh-muc-linh-kien'!$A$2:$D$9,4,FALSE),"")</x:f>
        <x:v>SSD</x:v>
      </x:c>
      <x:c r="G50" t="n">
        <x:v>4</x:v>
      </x:c>
      <x:c r="H50" s="12" t="n">
        <x:v>46174</x:v>
      </x:c>
    </x:row>
    <x:row r="51">
      <x:c r="A51" t="str">
        <x:v>tram-050</x:v>
      </x:c>
      <x:c r="B51" t="str">
        <x:v>LK002</x:v>
      </x:c>
      <x:c r="C51" t="str">
        <x:f>TRIM(B51)</x:f>
        <x:v>LK002</x:v>
      </x:c>
      <x:c r="D51" t="str">
        <x:f>IFERROR(VLOOKUP(C51,'danh-muc-linh-kien'!$A$2:$D$9,2,FALSE),"Chưa cập nhật")</x:f>
        <x:v>Mini PC Edge</x:v>
      </x:c>
      <x:c r="E51" s="10" t="n">
        <x:f>IFERROR(VLOOKUP(C51,'danh-muc-linh-kien'!$A$2:$D$9,3,FALSE),"")</x:f>
        <x:v>2850000</x:v>
      </x:c>
      <x:c r="F51" t="str">
        <x:f>IFERROR(VLOOKUP(C51,'danh-muc-linh-kien'!$A$2:$D$9,4,FALSE),"")</x:f>
        <x:v>SSD</x:v>
      </x:c>
      <x:c r="G51" t="n">
        <x:v>8</x:v>
      </x:c>
      <x:c r="H51" s="12" t="n">
        <x:v>46177</x:v>
      </x:c>
    </x:row>
    <x:row r="52">
      <x:c r="A52" t="str">
        <x:v>tram-051</x:v>
      </x:c>
      <x:c r="B52" t="str">
        <x:v>LK003  </x:v>
      </x:c>
      <x:c r="C52" t="str">
        <x:f>TRIM(B52)</x:f>
        <x:v>LK003</x:v>
      </x:c>
      <x:c r="D52" t="str">
        <x:f>IFERROR(VLOOKUP(C52,'danh-muc-linh-kien'!$A$2:$D$9,2,FALSE),"Chưa cập nhật")</x:f>
        <x:v>Data Logger</x:v>
      </x:c>
      <x:c r="E52" s="10" t="n">
        <x:f>IFERROR(VLOOKUP(C52,'danh-muc-linh-kien'!$A$2:$D$9,3,FALSE),"")</x:f>
        <x:v>980000</x:v>
      </x:c>
      <x:c r="F52" t="str">
        <x:f>IFERROR(VLOOKUP(C52,'danh-muc-linh-kien'!$A$2:$D$9,4,FALSE),"")</x:f>
        <x:v>SSD</x:v>
      </x:c>
      <x:c r="G52" t="n">
        <x:v>8</x:v>
      </x:c>
      <x:c r="H52" s="12" t="n">
        <x:v>46180</x:v>
      </x:c>
    </x:row>
    <x:row r="53">
      <x:c r="A53" t="str">
        <x:v>tram-052</x:v>
      </x:c>
      <x:c r="B53" t="str">
        <x:v>LK004</x:v>
      </x:c>
      <x:c r="C53" t="str">
        <x:f>TRIM(B53)</x:f>
        <x:v>LK004</x:v>
      </x:c>
      <x:c r="D53" t="str">
        <x:f>IFERROR(VLOOKUP(C53,'danh-muc-linh-kien'!$A$2:$D$9,2,FALSE),"Chưa cập nhật")</x:f>
        <x:v>Gateway Legacy</x:v>
      </x:c>
      <x:c r="E53" s="10" t="n">
        <x:f>IFERROR(VLOOKUP(C53,'danh-muc-linh-kien'!$A$2:$D$9,3,FALSE),"")</x:f>
        <x:v>760000</x:v>
      </x:c>
      <x:c r="F53" t="str">
        <x:f>IFERROR(VLOOKUP(C53,'danh-muc-linh-kien'!$A$2:$D$9,4,FALSE),"")</x:f>
        <x:v>HDD</x:v>
      </x:c>
      <x:c r="G53" t="n">
        <x:v>16</x:v>
      </x:c>
      <x:c r="H53" s="12" t="n">
        <x:v>46183</x:v>
      </x:c>
    </x:row>
    <x:row r="54">
      <x:c r="A54" t="str">
        <x:v>tram-053</x:v>
      </x:c>
      <x:c r="B54" t="str">
        <x:v>LK005</x:v>
      </x:c>
      <x:c r="C54" t="str">
        <x:f>TRIM(B54)</x:f>
        <x:v>LK005</x:v>
      </x:c>
      <x:c r="D54" t="str">
        <x:f>IFERROR(VLOOKUP(C54,'danh-muc-linh-kien'!$A$2:$D$9,2,FALSE),"Chưa cập nhật")</x:f>
        <x:v>Control Box</x:v>
      </x:c>
      <x:c r="E54" s="10" t="n">
        <x:f>IFERROR(VLOOKUP(C54,'danh-muc-linh-kien'!$A$2:$D$9,3,FALSE),"")</x:f>
        <x:v>1450000</x:v>
      </x:c>
      <x:c r="F54" t="str">
        <x:f>IFERROR(VLOOKUP(C54,'danh-muc-linh-kien'!$A$2:$D$9,4,FALSE),"")</x:f>
        <x:v>SSD</x:v>
      </x:c>
      <x:c r="G54" t="n">
        <x:v>4</x:v>
      </x:c>
      <x:c r="H54" s="12" t="n">
        <x:v>46186</x:v>
      </x:c>
    </x:row>
    <x:row r="55">
      <x:c r="A55" t="str">
        <x:v>tram-054</x:v>
      </x:c>
      <x:c r="B55" t="str">
        <x:v>LK006</x:v>
      </x:c>
      <x:c r="C55" t="str">
        <x:f>TRIM(B55)</x:f>
        <x:v>LK006</x:v>
      </x:c>
      <x:c r="D55" t="str">
        <x:f>IFERROR(VLOOKUP(C55,'danh-muc-linh-kien'!$A$2:$D$9,2,FALSE),"Chưa cập nhật")</x:f>
        <x:v>Edge Server</x:v>
      </x:c>
      <x:c r="E55" s="10" t="n">
        <x:f>IFERROR(VLOOKUP(C55,'danh-muc-linh-kien'!$A$2:$D$9,3,FALSE),"")</x:f>
        <x:v>6200000</x:v>
      </x:c>
      <x:c r="F55" t="str">
        <x:f>IFERROR(VLOOKUP(C55,'danh-muc-linh-kien'!$A$2:$D$9,4,FALSE),"")</x:f>
        <x:v>SSD</x:v>
      </x:c>
      <x:c r="G55" t="n">
        <x:v>16</x:v>
      </x:c>
      <x:c r="H55" s="12" t="n">
        <x:v>46189</x:v>
      </x:c>
    </x:row>
    <x:row r="56">
      <x:c r="A56" t="str">
        <x:v>tram-055</x:v>
      </x:c>
      <x:c r="B56" t="str">
        <x:v>LK007</x:v>
      </x:c>
      <x:c r="C56" t="str">
        <x:f>TRIM(B56)</x:f>
        <x:v>LK007</x:v>
      </x:c>
      <x:c r="D56" t="str">
        <x:f>IFERROR(VLOOKUP(C56,'danh-muc-linh-kien'!$A$2:$D$9,2,FALSE),"Chưa cập nhật")</x:f>
        <x:v>Backup Node</x:v>
      </x:c>
      <x:c r="E56" s="10" t="n">
        <x:f>IFERROR(VLOOKUP(C56,'danh-muc-linh-kien'!$A$2:$D$9,3,FALSE),"")</x:f>
        <x:v>3100000</x:v>
      </x:c>
      <x:c r="F56" t="str">
        <x:f>IFERROR(VLOOKUP(C56,'danh-muc-linh-kien'!$A$2:$D$9,4,FALSE),"")</x:f>
        <x:v>HDD</x:v>
      </x:c>
      <x:c r="G56" t="n">
        <x:v>8</x:v>
      </x:c>
      <x:c r="H56" s="12" t="n">
        <x:v>46192</x:v>
      </x:c>
    </x:row>
    <x:row r="57">
      <x:c r="A57" t="str">
        <x:v>tram-056</x:v>
      </x:c>
      <x:c r="B57" t="str">
        <x:v>LK008</x:v>
      </x:c>
      <x:c r="C57" t="str">
        <x:f>TRIM(B57)</x:f>
        <x:v>LK008</x:v>
      </x:c>
      <x:c r="D57" t="str">
        <x:f>IFERROR(VLOOKUP(C57,'danh-muc-linh-kien'!$A$2:$D$9,2,FALSE),"Chưa cập nhật")</x:f>
        <x:v>Sensor Hub</x:v>
      </x:c>
      <x:c r="E57" s="10" t="n">
        <x:f>IFERROR(VLOOKUP(C57,'danh-muc-linh-kien'!$A$2:$D$9,3,FALSE),"")</x:f>
        <x:v>890000</x:v>
      </x:c>
      <x:c r="F57" t="str">
        <x:f>IFERROR(VLOOKUP(C57,'danh-muc-linh-kien'!$A$2:$D$9,4,FALSE),"")</x:f>
        <x:v>SSD</x:v>
      </x:c>
      <x:c r="G57" t="n">
        <x:v>4</x:v>
      </x:c>
      <x:c r="H57" s="12" t="n">
        <x:v>46195</x:v>
      </x:c>
    </x:row>
    <x:row r="58">
      <x:c r="A58" t="str">
        <x:v>tram-057</x:v>
      </x:c>
      <x:c r="B58" t="str">
        <x:v>LK001</x:v>
      </x:c>
      <x:c r="C58" t="str">
        <x:f>TRIM(B58)</x:f>
        <x:v>LK001</x:v>
      </x:c>
      <x:c r="D58" t="str">
        <x:f>IFERROR(VLOOKUP(C58,'danh-muc-linh-kien'!$A$2:$D$9,2,FALSE),"Chưa cập nhật")</x:f>
        <x:v>Gateway IoT</x:v>
      </x:c>
      <x:c r="E58" s="10" t="n">
        <x:f>IFERROR(VLOOKUP(C58,'danh-muc-linh-kien'!$A$2:$D$9,3,FALSE),"")</x:f>
        <x:v>1250000</x:v>
      </x:c>
      <x:c r="F58" t="str">
        <x:f>IFERROR(VLOOKUP(C58,'danh-muc-linh-kien'!$A$2:$D$9,4,FALSE),"")</x:f>
        <x:v>SSD</x:v>
      </x:c>
      <x:c r="G58" t="n">
        <x:v>4</x:v>
      </x:c>
      <x:c r="H58" s="12" t="n">
        <x:v>46198</x:v>
      </x:c>
    </x:row>
    <x:row r="59">
      <x:c r="A59" t="str">
        <x:v>tram-058</x:v>
      </x:c>
      <x:c r="B59" t="str">
        <x:v>LK002</x:v>
      </x:c>
      <x:c r="C59" t="str">
        <x:f>TRIM(B59)</x:f>
        <x:v>LK002</x:v>
      </x:c>
      <x:c r="D59" t="str">
        <x:f>IFERROR(VLOOKUP(C59,'danh-muc-linh-kien'!$A$2:$D$9,2,FALSE),"Chưa cập nhật")</x:f>
        <x:v>Mini PC Edge</x:v>
      </x:c>
      <x:c r="E59" s="10" t="n">
        <x:f>IFERROR(VLOOKUP(C59,'danh-muc-linh-kien'!$A$2:$D$9,3,FALSE),"")</x:f>
        <x:v>2850000</x:v>
      </x:c>
      <x:c r="F59" t="str">
        <x:f>IFERROR(VLOOKUP(C59,'danh-muc-linh-kien'!$A$2:$D$9,4,FALSE),"")</x:f>
        <x:v>SSD</x:v>
      </x:c>
      <x:c r="G59" t="n">
        <x:v>8</x:v>
      </x:c>
      <x:c r="H59" s="12" t="n">
        <x:v>46201</x:v>
      </x:c>
    </x:row>
    <x:row r="60">
      <x:c r="A60" t="str">
        <x:v>tram-059</x:v>
      </x:c>
      <x:c r="B60" t="str">
        <x:v>LK003</x:v>
      </x:c>
      <x:c r="C60" t="str">
        <x:f>TRIM(B60)</x:f>
        <x:v>LK003</x:v>
      </x:c>
      <x:c r="D60" t="str">
        <x:f>IFERROR(VLOOKUP(C60,'danh-muc-linh-kien'!$A$2:$D$9,2,FALSE),"Chưa cập nhật")</x:f>
        <x:v>Data Logger</x:v>
      </x:c>
      <x:c r="E60" s="10" t="n">
        <x:f>IFERROR(VLOOKUP(C60,'danh-muc-linh-kien'!$A$2:$D$9,3,FALSE),"")</x:f>
        <x:v>980000</x:v>
      </x:c>
      <x:c r="F60" t="str">
        <x:f>IFERROR(VLOOKUP(C60,'danh-muc-linh-kien'!$A$2:$D$9,4,FALSE),"")</x:f>
        <x:v>SSD</x:v>
      </x:c>
      <x:c r="G60" t="n">
        <x:v>8</x:v>
      </x:c>
      <x:c r="H60" s="12" t="n">
        <x:v>46204</x:v>
      </x:c>
    </x:row>
    <x:row r="61">
      <x:c r="A61" t="str">
        <x:v>tram-060</x:v>
      </x:c>
      <x:c r="B61" t="str">
        <x:v>LK004</x:v>
      </x:c>
      <x:c r="C61" t="str">
        <x:f>TRIM(B61)</x:f>
        <x:v>LK004</x:v>
      </x:c>
      <x:c r="D61" t="str">
        <x:f>IFERROR(VLOOKUP(C61,'danh-muc-linh-kien'!$A$2:$D$9,2,FALSE),"Chưa cập nhật")</x:f>
        <x:v>Gateway Legacy</x:v>
      </x:c>
      <x:c r="E61" s="10" t="n">
        <x:f>IFERROR(VLOOKUP(C61,'danh-muc-linh-kien'!$A$2:$D$9,3,FALSE),"")</x:f>
        <x:v>760000</x:v>
      </x:c>
      <x:c r="F61" t="str">
        <x:f>IFERROR(VLOOKUP(C61,'danh-muc-linh-kien'!$A$2:$D$9,4,FALSE),"")</x:f>
        <x:v>HDD</x:v>
      </x:c>
      <x:c r="G61" t="n">
        <x:v>16</x:v>
      </x:c>
      <x:c r="H61" s="12" t="n">
        <x:v>46207</x:v>
      </x:c>
    </x:row>
    <x:row r="62">
      <x:c r="A62" t="str">
        <x:v>tram-061</x:v>
      </x:c>
      <x:c r="B62" t="str">
        <x:v>LK005</x:v>
      </x:c>
      <x:c r="C62" t="str">
        <x:f>TRIM(B62)</x:f>
        <x:v>LK005</x:v>
      </x:c>
      <x:c r="D62" t="str">
        <x:f>IFERROR(VLOOKUP(C62,'danh-muc-linh-kien'!$A$2:$D$9,2,FALSE),"Chưa cập nhật")</x:f>
        <x:v>Control Box</x:v>
      </x:c>
      <x:c r="E62" s="10" t="n">
        <x:f>IFERROR(VLOOKUP(C62,'danh-muc-linh-kien'!$A$2:$D$9,3,FALSE),"")</x:f>
        <x:v>1450000</x:v>
      </x:c>
      <x:c r="F62" t="str">
        <x:f>IFERROR(VLOOKUP(C62,'danh-muc-linh-kien'!$A$2:$D$9,4,FALSE),"")</x:f>
        <x:v>SSD</x:v>
      </x:c>
      <x:c r="G62" t="n">
        <x:v>4</x:v>
      </x:c>
      <x:c r="H62" s="12" t="n">
        <x:v>46210</x:v>
      </x:c>
    </x:row>
    <x:row r="63">
      <x:c r="A63" t="str">
        <x:v>tram-062</x:v>
      </x:c>
      <x:c r="B63" t="str">
        <x:v>LK999 </x:v>
      </x:c>
      <x:c r="C63" t="str">
        <x:f>TRIM(B63)</x:f>
        <x:v>LK999</x:v>
      </x:c>
      <x:c r="D63" t="str">
        <x:f>IFERROR(VLOOKUP(C63,'danh-muc-linh-kien'!$A$2:$D$9,2,FALSE),"Chưa cập nhật")</x:f>
        <x:v>Chưa cập nhật</x:v>
      </x:c>
      <x:c r="E63" s="10" t="str">
        <x:f>IFERROR(VLOOKUP(C63,'danh-muc-linh-kien'!$A$2:$D$9,3,FALSE),"")</x:f>
      </x:c>
      <x:c r="F63" t="str">
        <x:f>IFERROR(VLOOKUP(C63,'danh-muc-linh-kien'!$A$2:$D$9,4,FALSE),"")</x:f>
      </x:c>
      <x:c r="G63" t="n">
        <x:v>16</x:v>
      </x:c>
      <x:c r="H63" s="12" t="n">
        <x:v>46213</x:v>
      </x:c>
    </x:row>
    <x:row r="64">
      <x:c r="A64" t="str">
        <x:v>tram-063</x:v>
      </x:c>
      <x:c r="B64" t="str">
        <x:v>LK007</x:v>
      </x:c>
      <x:c r="C64" t="str">
        <x:f>TRIM(B64)</x:f>
        <x:v>LK007</x:v>
      </x:c>
      <x:c r="D64" t="str">
        <x:f>IFERROR(VLOOKUP(C64,'danh-muc-linh-kien'!$A$2:$D$9,2,FALSE),"Chưa cập nhật")</x:f>
        <x:v>Backup Node</x:v>
      </x:c>
      <x:c r="E64" s="10" t="n">
        <x:f>IFERROR(VLOOKUP(C64,'danh-muc-linh-kien'!$A$2:$D$9,3,FALSE),"")</x:f>
        <x:v>3100000</x:v>
      </x:c>
      <x:c r="F64" t="str">
        <x:f>IFERROR(VLOOKUP(C64,'danh-muc-linh-kien'!$A$2:$D$9,4,FALSE),"")</x:f>
        <x:v>HDD</x:v>
      </x:c>
      <x:c r="G64" t="n">
        <x:v>8</x:v>
      </x:c>
      <x:c r="H64" s="12" t="n">
        <x:v>46216</x:v>
      </x:c>
    </x:row>
    <x:row r="65">
      <x:c r="A65" t="str">
        <x:v>tram-064</x:v>
      </x:c>
      <x:c r="B65" t="str">
        <x:v>LK008</x:v>
      </x:c>
      <x:c r="C65" t="str">
        <x:f>TRIM(B65)</x:f>
        <x:v>LK008</x:v>
      </x:c>
      <x:c r="D65" t="str">
        <x:f>IFERROR(VLOOKUP(C65,'danh-muc-linh-kien'!$A$2:$D$9,2,FALSE),"Chưa cập nhật")</x:f>
        <x:v>Sensor Hub</x:v>
      </x:c>
      <x:c r="E65" s="10" t="n">
        <x:f>IFERROR(VLOOKUP(C65,'danh-muc-linh-kien'!$A$2:$D$9,3,FALSE),"")</x:f>
        <x:v>890000</x:v>
      </x:c>
      <x:c r="F65" t="str">
        <x:f>IFERROR(VLOOKUP(C65,'danh-muc-linh-kien'!$A$2:$D$9,4,FALSE),"")</x:f>
        <x:v>SSD</x:v>
      </x:c>
      <x:c r="G65" t="n">
        <x:v>4</x:v>
      </x:c>
      <x:c r="H65" s="12" t="n">
        <x:v>46219</x:v>
      </x:c>
    </x:row>
    <x:row r="66">
      <x:c r="A66" t="str">
        <x:v>tram-065</x:v>
      </x:c>
      <x:c r="B66" t="str">
        <x:v>LK001</x:v>
      </x:c>
      <x:c r="C66" t="str">
        <x:f>TRIM(B66)</x:f>
        <x:v>LK001</x:v>
      </x:c>
      <x:c r="D66" t="str">
        <x:f>IFERROR(VLOOKUP(C66,'danh-muc-linh-kien'!$A$2:$D$9,2,FALSE),"Chưa cập nhật")</x:f>
        <x:v>Gateway IoT</x:v>
      </x:c>
      <x:c r="E66" s="10" t="n">
        <x:f>IFERROR(VLOOKUP(C66,'danh-muc-linh-kien'!$A$2:$D$9,3,FALSE),"")</x:f>
        <x:v>1250000</x:v>
      </x:c>
      <x:c r="F66" t="str">
        <x:f>IFERROR(VLOOKUP(C66,'danh-muc-linh-kien'!$A$2:$D$9,4,FALSE),"")</x:f>
        <x:v>SSD</x:v>
      </x:c>
      <x:c r="G66" t="n">
        <x:v>4</x:v>
      </x:c>
      <x:c r="H66" s="12" t="n">
        <x:v>46222</x:v>
      </x:c>
    </x:row>
    <x:row r="67">
      <x:c r="A67" t="str">
        <x:v>tram-066</x:v>
      </x:c>
      <x:c r="B67" t="str">
        <x:v>LK002</x:v>
      </x:c>
      <x:c r="C67" t="str">
        <x:f>TRIM(B67)</x:f>
        <x:v>LK002</x:v>
      </x:c>
      <x:c r="D67" t="str">
        <x:f>IFERROR(VLOOKUP(C67,'danh-muc-linh-kien'!$A$2:$D$9,2,FALSE),"Chưa cập nhật")</x:f>
        <x:v>Mini PC Edge</x:v>
      </x:c>
      <x:c r="E67" s="10" t="n">
        <x:f>IFERROR(VLOOKUP(C67,'danh-muc-linh-kien'!$A$2:$D$9,3,FALSE),"")</x:f>
        <x:v>2850000</x:v>
      </x:c>
      <x:c r="F67" t="str">
        <x:f>IFERROR(VLOOKUP(C67,'danh-muc-linh-kien'!$A$2:$D$9,4,FALSE),"")</x:f>
        <x:v>SSD</x:v>
      </x:c>
      <x:c r="G67" t="n">
        <x:v>8</x:v>
      </x:c>
      <x:c r="H67" s="12" t="n">
        <x:v>46225</x:v>
      </x:c>
    </x:row>
    <x:row r="68">
      <x:c r="A68" t="str">
        <x:v>tram-067</x:v>
      </x:c>
      <x:c r="B68" t="str">
        <x:v>LK003</x:v>
      </x:c>
      <x:c r="C68" t="str">
        <x:f>TRIM(B68)</x:f>
        <x:v>LK003</x:v>
      </x:c>
      <x:c r="D68" t="str">
        <x:f>IFERROR(VLOOKUP(C68,'danh-muc-linh-kien'!$A$2:$D$9,2,FALSE),"Chưa cập nhật")</x:f>
        <x:v>Data Logger</x:v>
      </x:c>
      <x:c r="E68" s="10" t="n">
        <x:f>IFERROR(VLOOKUP(C68,'danh-muc-linh-kien'!$A$2:$D$9,3,FALSE),"")</x:f>
        <x:v>980000</x:v>
      </x:c>
      <x:c r="F68" t="str">
        <x:f>IFERROR(VLOOKUP(C68,'danh-muc-linh-kien'!$A$2:$D$9,4,FALSE),"")</x:f>
        <x:v>SSD</x:v>
      </x:c>
      <x:c r="G68" t="n">
        <x:v>8</x:v>
      </x:c>
      <x:c r="H68" s="12" t="n">
        <x:v>46228</x:v>
      </x:c>
    </x:row>
    <x:row r="69">
      <x:c r="A69" t="str">
        <x:v>tram-068</x:v>
      </x:c>
      <x:c r="B69" t="str">
        <x:v>LK004  </x:v>
      </x:c>
      <x:c r="C69" t="str">
        <x:f>TRIM(B69)</x:f>
        <x:v>LK004</x:v>
      </x:c>
      <x:c r="D69" t="str">
        <x:f>IFERROR(VLOOKUP(C69,'danh-muc-linh-kien'!$A$2:$D$9,2,FALSE),"Chưa cập nhật")</x:f>
        <x:v>Gateway Legacy</x:v>
      </x:c>
      <x:c r="E69" s="10" t="n">
        <x:f>IFERROR(VLOOKUP(C69,'danh-muc-linh-kien'!$A$2:$D$9,3,FALSE),"")</x:f>
        <x:v>760000</x:v>
      </x:c>
      <x:c r="F69" t="str">
        <x:f>IFERROR(VLOOKUP(C69,'danh-muc-linh-kien'!$A$2:$D$9,4,FALSE),"")</x:f>
        <x:v>HDD</x:v>
      </x:c>
      <x:c r="G69" t="n">
        <x:v>16</x:v>
      </x:c>
      <x:c r="H69" s="12" t="n">
        <x:v>46231</x:v>
      </x:c>
    </x:row>
    <x:row r="70">
      <x:c r="A70" t="str">
        <x:v>tram-069</x:v>
      </x:c>
      <x:c r="B70" t="str">
        <x:v>LK005</x:v>
      </x:c>
      <x:c r="C70" t="str">
        <x:f>TRIM(B70)</x:f>
        <x:v>LK005</x:v>
      </x:c>
      <x:c r="D70" t="str">
        <x:f>IFERROR(VLOOKUP(C70,'danh-muc-linh-kien'!$A$2:$D$9,2,FALSE),"Chưa cập nhật")</x:f>
        <x:v>Control Box</x:v>
      </x:c>
      <x:c r="E70" s="10" t="n">
        <x:f>IFERROR(VLOOKUP(C70,'danh-muc-linh-kien'!$A$2:$D$9,3,FALSE),"")</x:f>
        <x:v>1450000</x:v>
      </x:c>
      <x:c r="F70" t="str">
        <x:f>IFERROR(VLOOKUP(C70,'danh-muc-linh-kien'!$A$2:$D$9,4,FALSE),"")</x:f>
        <x:v>SSD</x:v>
      </x:c>
      <x:c r="G70" t="n">
        <x:v>4</x:v>
      </x:c>
      <x:c r="H70" s="12" t="n">
        <x:v>46234</x:v>
      </x:c>
    </x:row>
    <x:row r="71">
      <x:c r="A71" t="str">
        <x:v>tram-070</x:v>
      </x:c>
      <x:c r="B71" t="str">
        <x:v>LK006</x:v>
      </x:c>
      <x:c r="C71" t="str">
        <x:f>TRIM(B71)</x:f>
        <x:v>LK006</x:v>
      </x:c>
      <x:c r="D71" t="str">
        <x:f>IFERROR(VLOOKUP(C71,'danh-muc-linh-kien'!$A$2:$D$9,2,FALSE),"Chưa cập nhật")</x:f>
        <x:v>Edge Server</x:v>
      </x:c>
      <x:c r="E71" s="10" t="n">
        <x:f>IFERROR(VLOOKUP(C71,'danh-muc-linh-kien'!$A$2:$D$9,3,FALSE),"")</x:f>
        <x:v>6200000</x:v>
      </x:c>
      <x:c r="F71" t="str">
        <x:f>IFERROR(VLOOKUP(C71,'danh-muc-linh-kien'!$A$2:$D$9,4,FALSE),"")</x:f>
        <x:v>SSD</x:v>
      </x:c>
      <x:c r="G71" t="n">
        <x:v>16</x:v>
      </x:c>
      <x:c r="H71" s="12" t="n">
        <x:v>46237</x:v>
      </x:c>
    </x:row>
    <x:row r="72">
      <x:c r="A72" t="str">
        <x:v>tram-071</x:v>
      </x:c>
      <x:c r="B72" t="str">
        <x:v>LK007</x:v>
      </x:c>
      <x:c r="C72" t="str">
        <x:f>TRIM(B72)</x:f>
        <x:v>LK007</x:v>
      </x:c>
      <x:c r="D72" t="str">
        <x:f>IFERROR(VLOOKUP(C72,'danh-muc-linh-kien'!$A$2:$D$9,2,FALSE),"Chưa cập nhật")</x:f>
        <x:v>Backup Node</x:v>
      </x:c>
      <x:c r="E72" s="10" t="n">
        <x:f>IFERROR(VLOOKUP(C72,'danh-muc-linh-kien'!$A$2:$D$9,3,FALSE),"")</x:f>
        <x:v>3100000</x:v>
      </x:c>
      <x:c r="F72" t="str">
        <x:f>IFERROR(VLOOKUP(C72,'danh-muc-linh-kien'!$A$2:$D$9,4,FALSE),"")</x:f>
        <x:v>HDD</x:v>
      </x:c>
      <x:c r="G72" t="n">
        <x:v>8</x:v>
      </x:c>
      <x:c r="H72" s="12" t="n">
        <x:v>46240</x:v>
      </x:c>
    </x:row>
    <x:row r="73">
      <x:c r="A73" t="str">
        <x:v>tram-072</x:v>
      </x:c>
      <x:c r="B73" t="str">
        <x:v>LK008</x:v>
      </x:c>
      <x:c r="C73" t="str">
        <x:f>TRIM(B73)</x:f>
        <x:v>LK008</x:v>
      </x:c>
      <x:c r="D73" t="str">
        <x:f>IFERROR(VLOOKUP(C73,'danh-muc-linh-kien'!$A$2:$D$9,2,FALSE),"Chưa cập nhật")</x:f>
        <x:v>Sensor Hub</x:v>
      </x:c>
      <x:c r="E73" s="10" t="n">
        <x:f>IFERROR(VLOOKUP(C73,'danh-muc-linh-kien'!$A$2:$D$9,3,FALSE),"")</x:f>
        <x:v>890000</x:v>
      </x:c>
      <x:c r="F73" t="str">
        <x:f>IFERROR(VLOOKUP(C73,'danh-muc-linh-kien'!$A$2:$D$9,4,FALSE),"")</x:f>
        <x:v>SSD</x:v>
      </x:c>
      <x:c r="G73" t="n">
        <x:v>4</x:v>
      </x:c>
      <x:c r="H73" s="12" t="n">
        <x:v>46243</x:v>
      </x:c>
    </x:row>
    <x:row r="74">
      <x:c r="A74" t="str">
        <x:v>tram-073</x:v>
      </x:c>
      <x:c r="B74" t="str">
        <x:v>LK001</x:v>
      </x:c>
      <x:c r="C74" t="str">
        <x:f>TRIM(B74)</x:f>
        <x:v>LK001</x:v>
      </x:c>
      <x:c r="D74" t="str">
        <x:f>IFERROR(VLOOKUP(C74,'danh-muc-linh-kien'!$A$2:$D$9,2,FALSE),"Chưa cập nhật")</x:f>
        <x:v>Gateway IoT</x:v>
      </x:c>
      <x:c r="E74" s="10" t="n">
        <x:f>IFERROR(VLOOKUP(C74,'danh-muc-linh-kien'!$A$2:$D$9,3,FALSE),"")</x:f>
        <x:v>1250000</x:v>
      </x:c>
      <x:c r="F74" t="str">
        <x:f>IFERROR(VLOOKUP(C74,'danh-muc-linh-kien'!$A$2:$D$9,4,FALSE),"")</x:f>
        <x:v>SSD</x:v>
      </x:c>
      <x:c r="G74" t="n">
        <x:v>4</x:v>
      </x:c>
      <x:c r="H74" s="12" t="n">
        <x:v>46246</x:v>
      </x:c>
    </x:row>
    <x:row r="75">
      <x:c r="A75" t="str">
        <x:v>tram-074</x:v>
      </x:c>
      <x:c r="B75" t="str">
        <x:v>LK002</x:v>
      </x:c>
      <x:c r="C75" t="str">
        <x:f>TRIM(B75)</x:f>
        <x:v>LK002</x:v>
      </x:c>
      <x:c r="D75" t="str">
        <x:f>IFERROR(VLOOKUP(C75,'danh-muc-linh-kien'!$A$2:$D$9,2,FALSE),"Chưa cập nhật")</x:f>
        <x:v>Mini PC Edge</x:v>
      </x:c>
      <x:c r="E75" s="10" t="n">
        <x:f>IFERROR(VLOOKUP(C75,'danh-muc-linh-kien'!$A$2:$D$9,3,FALSE),"")</x:f>
        <x:v>2850000</x:v>
      </x:c>
      <x:c r="F75" t="str">
        <x:f>IFERROR(VLOOKUP(C75,'danh-muc-linh-kien'!$A$2:$D$9,4,FALSE),"")</x:f>
        <x:v>SSD</x:v>
      </x:c>
      <x:c r="G75" t="n">
        <x:v>8</x:v>
      </x:c>
      <x:c r="H75" s="12" t="n">
        <x:v>46249</x:v>
      </x:c>
    </x:row>
    <x:row r="76">
      <x:c r="A76" t="str">
        <x:v>tram-075</x:v>
      </x:c>
      <x:c r="B76" t="str">
        <x:v>LK003</x:v>
      </x:c>
      <x:c r="C76" t="str">
        <x:f>TRIM(B76)</x:f>
        <x:v>LK003</x:v>
      </x:c>
      <x:c r="D76" t="str">
        <x:f>IFERROR(VLOOKUP(C76,'danh-muc-linh-kien'!$A$2:$D$9,2,FALSE),"Chưa cập nhật")</x:f>
        <x:v>Data Logger</x:v>
      </x:c>
      <x:c r="E76" s="10" t="n">
        <x:f>IFERROR(VLOOKUP(C76,'danh-muc-linh-kien'!$A$2:$D$9,3,FALSE),"")</x:f>
        <x:v>980000</x:v>
      </x:c>
      <x:c r="F76" t="str">
        <x:f>IFERROR(VLOOKUP(C76,'danh-muc-linh-kien'!$A$2:$D$9,4,FALSE),"")</x:f>
        <x:v>SSD</x:v>
      </x:c>
      <x:c r="G76" t="n">
        <x:v>8</x:v>
      </x:c>
      <x:c r="H76" s="12" t="n">
        <x:v>46252</x:v>
      </x:c>
    </x:row>
    <x:row r="77">
      <x:c r="A77" t="str">
        <x:v>tram-076</x:v>
      </x:c>
      <x:c r="B77" t="str">
        <x:v>LK004</x:v>
      </x:c>
      <x:c r="C77" t="str">
        <x:f>TRIM(B77)</x:f>
        <x:v>LK004</x:v>
      </x:c>
      <x:c r="D77" t="str">
        <x:f>IFERROR(VLOOKUP(C77,'danh-muc-linh-kien'!$A$2:$D$9,2,FALSE),"Chưa cập nhật")</x:f>
        <x:v>Gateway Legacy</x:v>
      </x:c>
      <x:c r="E77" s="10" t="n">
        <x:f>IFERROR(VLOOKUP(C77,'danh-muc-linh-kien'!$A$2:$D$9,3,FALSE),"")</x:f>
        <x:v>760000</x:v>
      </x:c>
      <x:c r="F77" t="str">
        <x:f>IFERROR(VLOOKUP(C77,'danh-muc-linh-kien'!$A$2:$D$9,4,FALSE),"")</x:f>
        <x:v>HDD</x:v>
      </x:c>
      <x:c r="G77" t="n">
        <x:v>16</x:v>
      </x:c>
      <x:c r="H77" s="12" t="n">
        <x:v>46255</x:v>
      </x:c>
    </x:row>
    <x:row r="78">
      <x:c r="A78" t="str">
        <x:v>tram-077</x:v>
      </x:c>
      <x:c r="B78" t="str">
        <x:v>LK005</x:v>
      </x:c>
      <x:c r="C78" t="str">
        <x:f>TRIM(B78)</x:f>
        <x:v>LK005</x:v>
      </x:c>
      <x:c r="D78" t="str">
        <x:f>IFERROR(VLOOKUP(C78,'danh-muc-linh-kien'!$A$2:$D$9,2,FALSE),"Chưa cập nhật")</x:f>
        <x:v>Control Box</x:v>
      </x:c>
      <x:c r="E78" s="10" t="n">
        <x:f>IFERROR(VLOOKUP(C78,'danh-muc-linh-kien'!$A$2:$D$9,3,FALSE),"")</x:f>
        <x:v>1450000</x:v>
      </x:c>
      <x:c r="F78" t="str">
        <x:f>IFERROR(VLOOKUP(C78,'danh-muc-linh-kien'!$A$2:$D$9,4,FALSE),"")</x:f>
        <x:v>SSD</x:v>
      </x:c>
      <x:c r="G78" t="n">
        <x:v>4</x:v>
      </x:c>
      <x:c r="H78" s="12" t="n">
        <x:v>46258</x:v>
      </x:c>
    </x:row>
    <x:row r="79">
      <x:c r="A79" t="str">
        <x:v>tram-078</x:v>
      </x:c>
      <x:c r="B79" t="str">
        <x:v>LK006</x:v>
      </x:c>
      <x:c r="C79" t="str">
        <x:f>TRIM(B79)</x:f>
        <x:v>LK006</x:v>
      </x:c>
      <x:c r="D79" t="str">
        <x:f>IFERROR(VLOOKUP(C79,'danh-muc-linh-kien'!$A$2:$D$9,2,FALSE),"Chưa cập nhật")</x:f>
        <x:v>Edge Server</x:v>
      </x:c>
      <x:c r="E79" s="10" t="n">
        <x:f>IFERROR(VLOOKUP(C79,'danh-muc-linh-kien'!$A$2:$D$9,3,FALSE),"")</x:f>
        <x:v>6200000</x:v>
      </x:c>
      <x:c r="F79" t="str">
        <x:f>IFERROR(VLOOKUP(C79,'danh-muc-linh-kien'!$A$2:$D$9,4,FALSE),"")</x:f>
        <x:v>SSD</x:v>
      </x:c>
      <x:c r="G79" t="n">
        <x:v>16</x:v>
      </x:c>
      <x:c r="H79" s="12" t="n">
        <x:v>46261</x:v>
      </x:c>
    </x:row>
    <x:row r="80">
      <x:c r="A80" t="str">
        <x:v>tram-079</x:v>
      </x:c>
      <x:c r="B80" t="str">
        <x:v>LK007</x:v>
      </x:c>
      <x:c r="C80" t="str">
        <x:f>TRIM(B80)</x:f>
        <x:v>LK007</x:v>
      </x:c>
      <x:c r="D80" t="str">
        <x:f>IFERROR(VLOOKUP(C80,'danh-muc-linh-kien'!$A$2:$D$9,2,FALSE),"Chưa cập nhật")</x:f>
        <x:v>Backup Node</x:v>
      </x:c>
      <x:c r="E80" s="10" t="n">
        <x:f>IFERROR(VLOOKUP(C80,'danh-muc-linh-kien'!$A$2:$D$9,3,FALSE),"")</x:f>
        <x:v>3100000</x:v>
      </x:c>
      <x:c r="F80" t="str">
        <x:f>IFERROR(VLOOKUP(C80,'danh-muc-linh-kien'!$A$2:$D$9,4,FALSE),"")</x:f>
        <x:v>HDD</x:v>
      </x:c>
      <x:c r="G80" t="n">
        <x:v>8</x:v>
      </x:c>
      <x:c r="H80" s="12" t="n">
        <x:v>46264</x:v>
      </x:c>
    </x:row>
    <x:row r="81">
      <x:c r="A81" t="str">
        <x:v>tram-080</x:v>
      </x:c>
      <x:c r="B81" t="str">
        <x:v>LK008</x:v>
      </x:c>
      <x:c r="C81" t="str">
        <x:f>TRIM(B81)</x:f>
        <x:v>LK008</x:v>
      </x:c>
      <x:c r="D81" t="str">
        <x:f>IFERROR(VLOOKUP(C81,'danh-muc-linh-kien'!$A$2:$D$9,2,FALSE),"Chưa cập nhật")</x:f>
        <x:v>Sensor Hub</x:v>
      </x:c>
      <x:c r="E81" s="10" t="n">
        <x:f>IFERROR(VLOOKUP(C81,'danh-muc-linh-kien'!$A$2:$D$9,3,FALSE),"")</x:f>
        <x:v>890000</x:v>
      </x:c>
      <x:c r="F81" t="str">
        <x:f>IFERROR(VLOOKUP(C81,'danh-muc-linh-kien'!$A$2:$D$9,4,FALSE),"")</x:f>
        <x:v>SSD</x:v>
      </x:c>
      <x:c r="G81" t="n">
        <x:v>4</x:v>
      </x:c>
      <x:c r="H81" s="12" t="n">
        <x:v>46027</x:v>
      </x:c>
    </x:row>
    <x:row r="82">
      <x:c r="A82" t="str">
        <x:v>tram-081</x:v>
      </x:c>
      <x:c r="B82" t="str">
        <x:v>LK001</x:v>
      </x:c>
      <x:c r="C82" t="str">
        <x:f>TRIM(B82)</x:f>
        <x:v>LK001</x:v>
      </x:c>
      <x:c r="D82" t="str">
        <x:f>IFERROR(VLOOKUP(C82,'danh-muc-linh-kien'!$A$2:$D$9,2,FALSE),"Chưa cập nhật")</x:f>
        <x:v>Gateway IoT</x:v>
      </x:c>
      <x:c r="E82" s="10" t="n">
        <x:f>IFERROR(VLOOKUP(C82,'danh-muc-linh-kien'!$A$2:$D$9,3,FALSE),"")</x:f>
        <x:v>1250000</x:v>
      </x:c>
      <x:c r="F82" t="str">
        <x:f>IFERROR(VLOOKUP(C82,'danh-muc-linh-kien'!$A$2:$D$9,4,FALSE),"")</x:f>
        <x:v>SSD</x:v>
      </x:c>
      <x:c r="G82" t="n">
        <x:v>4</x:v>
      </x:c>
      <x:c r="H82" s="12" t="n">
        <x:v>46030</x:v>
      </x:c>
    </x:row>
    <x:row r="83">
      <x:c r="A83" t="str">
        <x:v>tram-082</x:v>
      </x:c>
      <x:c r="B83" t="str">
        <x:v>LK002</x:v>
      </x:c>
      <x:c r="C83" t="str">
        <x:f>TRIM(B83)</x:f>
        <x:v>LK002</x:v>
      </x:c>
      <x:c r="D83" t="str">
        <x:f>IFERROR(VLOOKUP(C83,'danh-muc-linh-kien'!$A$2:$D$9,2,FALSE),"Chưa cập nhật")</x:f>
        <x:v>Mini PC Edge</x:v>
      </x:c>
      <x:c r="E83" s="10" t="n">
        <x:f>IFERROR(VLOOKUP(C83,'danh-muc-linh-kien'!$A$2:$D$9,3,FALSE),"")</x:f>
        <x:v>2850000</x:v>
      </x:c>
      <x:c r="F83" t="str">
        <x:f>IFERROR(VLOOKUP(C83,'danh-muc-linh-kien'!$A$2:$D$9,4,FALSE),"")</x:f>
        <x:v>SSD</x:v>
      </x:c>
      <x:c r="G83" t="n">
        <x:v>8</x:v>
      </x:c>
      <x:c r="H83" s="12" t="n">
        <x:v>46033</x:v>
      </x:c>
    </x:row>
    <x:row r="84">
      <x:c r="A84" t="str">
        <x:v>tram-083</x:v>
      </x:c>
      <x:c r="B84" t="str">
        <x:v>LK003</x:v>
      </x:c>
      <x:c r="C84" t="str">
        <x:f>TRIM(B84)</x:f>
        <x:v>LK003</x:v>
      </x:c>
      <x:c r="D84" t="str">
        <x:f>IFERROR(VLOOKUP(C84,'danh-muc-linh-kien'!$A$2:$D$9,2,FALSE),"Chưa cập nhật")</x:f>
        <x:v>Data Logger</x:v>
      </x:c>
      <x:c r="E84" s="10" t="n">
        <x:f>IFERROR(VLOOKUP(C84,'danh-muc-linh-kien'!$A$2:$D$9,3,FALSE),"")</x:f>
        <x:v>980000</x:v>
      </x:c>
      <x:c r="F84" t="str">
        <x:f>IFERROR(VLOOKUP(C84,'danh-muc-linh-kien'!$A$2:$D$9,4,FALSE),"")</x:f>
        <x:v>SSD</x:v>
      </x:c>
      <x:c r="G84" t="n">
        <x:v>8</x:v>
      </x:c>
      <x:c r="H84" s="12" t="n">
        <x:v>46036</x:v>
      </x:c>
    </x:row>
    <x:row r="85">
      <x:c r="A85" t="str">
        <x:v>tram-084</x:v>
      </x:c>
      <x:c r="B85" t="str">
        <x:v>LK004</x:v>
      </x:c>
      <x:c r="C85" t="str">
        <x:f>TRIM(B85)</x:f>
        <x:v>LK004</x:v>
      </x:c>
      <x:c r="D85" t="str">
        <x:f>IFERROR(VLOOKUP(C85,'danh-muc-linh-kien'!$A$2:$D$9,2,FALSE),"Chưa cập nhật")</x:f>
        <x:v>Gateway Legacy</x:v>
      </x:c>
      <x:c r="E85" s="10" t="n">
        <x:f>IFERROR(VLOOKUP(C85,'danh-muc-linh-kien'!$A$2:$D$9,3,FALSE),"")</x:f>
        <x:v>760000</x:v>
      </x:c>
      <x:c r="F85" t="str">
        <x:f>IFERROR(VLOOKUP(C85,'danh-muc-linh-kien'!$A$2:$D$9,4,FALSE),"")</x:f>
        <x:v>HDD</x:v>
      </x:c>
      <x:c r="G85" t="n">
        <x:v>16</x:v>
      </x:c>
      <x:c r="H85" s="12" t="n">
        <x:v>46039</x:v>
      </x:c>
    </x:row>
    <x:row r="86">
      <x:c r="A86" t="str">
        <x:v>tram-085</x:v>
      </x:c>
      <x:c r="B86" t="str">
        <x:v>LK005  </x:v>
      </x:c>
      <x:c r="C86" t="str">
        <x:f>TRIM(B86)</x:f>
        <x:v>LK005</x:v>
      </x:c>
      <x:c r="D86" t="str">
        <x:f>IFERROR(VLOOKUP(C86,'danh-muc-linh-kien'!$A$2:$D$9,2,FALSE),"Chưa cập nhật")</x:f>
        <x:v>Control Box</x:v>
      </x:c>
      <x:c r="E86" s="10" t="n">
        <x:f>IFERROR(VLOOKUP(C86,'danh-muc-linh-kien'!$A$2:$D$9,3,FALSE),"")</x:f>
        <x:v>1450000</x:v>
      </x:c>
      <x:c r="F86" t="str">
        <x:f>IFERROR(VLOOKUP(C86,'danh-muc-linh-kien'!$A$2:$D$9,4,FALSE),"")</x:f>
        <x:v>SSD</x:v>
      </x:c>
      <x:c r="G86" t="n">
        <x:v>4</x:v>
      </x:c>
      <x:c r="H86" s="12" t="n">
        <x:v>46042</x:v>
      </x:c>
    </x:row>
    <x:row r="87">
      <x:c r="A87" t="str">
        <x:v>tram-086</x:v>
      </x:c>
      <x:c r="B87" t="str">
        <x:v>LK006</x:v>
      </x:c>
      <x:c r="C87" t="str">
        <x:f>TRIM(B87)</x:f>
        <x:v>LK006</x:v>
      </x:c>
      <x:c r="D87" t="str">
        <x:f>IFERROR(VLOOKUP(C87,'danh-muc-linh-kien'!$A$2:$D$9,2,FALSE),"Chưa cập nhật")</x:f>
        <x:v>Edge Server</x:v>
      </x:c>
      <x:c r="E87" s="10" t="n">
        <x:f>IFERROR(VLOOKUP(C87,'danh-muc-linh-kien'!$A$2:$D$9,3,FALSE),"")</x:f>
        <x:v>6200000</x:v>
      </x:c>
      <x:c r="F87" t="str">
        <x:f>IFERROR(VLOOKUP(C87,'danh-muc-linh-kien'!$A$2:$D$9,4,FALSE),"")</x:f>
        <x:v>SSD</x:v>
      </x:c>
      <x:c r="G87" t="n">
        <x:v>16</x:v>
      </x:c>
      <x:c r="H87" s="12" t="n">
        <x:v>46045</x:v>
      </x:c>
    </x:row>
    <x:row r="88">
      <x:c r="A88" t="str">
        <x:v>tram-087</x:v>
      </x:c>
      <x:c r="B88" t="str">
        <x:v>LK007</x:v>
      </x:c>
      <x:c r="C88" t="str">
        <x:f>TRIM(B88)</x:f>
        <x:v>LK007</x:v>
      </x:c>
      <x:c r="D88" t="str">
        <x:f>IFERROR(VLOOKUP(C88,'danh-muc-linh-kien'!$A$2:$D$9,2,FALSE),"Chưa cập nhật")</x:f>
        <x:v>Backup Node</x:v>
      </x:c>
      <x:c r="E88" s="10" t="n">
        <x:f>IFERROR(VLOOKUP(C88,'danh-muc-linh-kien'!$A$2:$D$9,3,FALSE),"")</x:f>
        <x:v>3100000</x:v>
      </x:c>
      <x:c r="F88" t="str">
        <x:f>IFERROR(VLOOKUP(C88,'danh-muc-linh-kien'!$A$2:$D$9,4,FALSE),"")</x:f>
        <x:v>HDD</x:v>
      </x:c>
      <x:c r="G88" t="n">
        <x:v>8</x:v>
      </x:c>
      <x:c r="H88" s="12" t="n">
        <x:v>46048</x:v>
      </x:c>
    </x:row>
    <x:row r="89">
      <x:c r="A89" t="str">
        <x:v>tram-088</x:v>
      </x:c>
      <x:c r="B89" t="str">
        <x:v>LK008</x:v>
      </x:c>
      <x:c r="C89" t="str">
        <x:f>TRIM(B89)</x:f>
        <x:v>LK008</x:v>
      </x:c>
      <x:c r="D89" t="str">
        <x:f>IFERROR(VLOOKUP(C89,'danh-muc-linh-kien'!$A$2:$D$9,2,FALSE),"Chưa cập nhật")</x:f>
        <x:v>Sensor Hub</x:v>
      </x:c>
      <x:c r="E89" s="10" t="n">
        <x:f>IFERROR(VLOOKUP(C89,'danh-muc-linh-kien'!$A$2:$D$9,3,FALSE),"")</x:f>
        <x:v>890000</x:v>
      </x:c>
      <x:c r="F89" t="str">
        <x:f>IFERROR(VLOOKUP(C89,'danh-muc-linh-kien'!$A$2:$D$9,4,FALSE),"")</x:f>
        <x:v>SSD</x:v>
      </x:c>
      <x:c r="G89" t="n">
        <x:v>4</x:v>
      </x:c>
      <x:c r="H89" s="12" t="n">
        <x:v>46051</x:v>
      </x:c>
    </x:row>
    <x:row r="90">
      <x:c r="A90" t="str">
        <x:v>tram-089</x:v>
      </x:c>
      <x:c r="B90" t="str">
        <x:v>LK001</x:v>
      </x:c>
      <x:c r="C90" t="str">
        <x:f>TRIM(B90)</x:f>
        <x:v>LK001</x:v>
      </x:c>
      <x:c r="D90" t="str">
        <x:f>IFERROR(VLOOKUP(C90,'danh-muc-linh-kien'!$A$2:$D$9,2,FALSE),"Chưa cập nhật")</x:f>
        <x:v>Gateway IoT</x:v>
      </x:c>
      <x:c r="E90" s="10" t="n">
        <x:f>IFERROR(VLOOKUP(C90,'danh-muc-linh-kien'!$A$2:$D$9,3,FALSE),"")</x:f>
        <x:v>1250000</x:v>
      </x:c>
      <x:c r="F90" t="str">
        <x:f>IFERROR(VLOOKUP(C90,'danh-muc-linh-kien'!$A$2:$D$9,4,FALSE),"")</x:f>
        <x:v>SSD</x:v>
      </x:c>
      <x:c r="G90" t="n">
        <x:v>4</x:v>
      </x:c>
      <x:c r="H90" s="12" t="n">
        <x:v>46054</x:v>
      </x:c>
    </x:row>
    <x:row r="91">
      <x:c r="A91" t="str">
        <x:v>tram-090</x:v>
      </x:c>
      <x:c r="B91" t="str">
        <x:v>LK002</x:v>
      </x:c>
      <x:c r="C91" t="str">
        <x:f>TRIM(B91)</x:f>
        <x:v>LK002</x:v>
      </x:c>
      <x:c r="D91" t="str">
        <x:f>IFERROR(VLOOKUP(C91,'danh-muc-linh-kien'!$A$2:$D$9,2,FALSE),"Chưa cập nhật")</x:f>
        <x:v>Mini PC Edge</x:v>
      </x:c>
      <x:c r="E91" s="10" t="n">
        <x:f>IFERROR(VLOOKUP(C91,'danh-muc-linh-kien'!$A$2:$D$9,3,FALSE),"")</x:f>
        <x:v>2850000</x:v>
      </x:c>
      <x:c r="F91" t="str">
        <x:f>IFERROR(VLOOKUP(C91,'danh-muc-linh-kien'!$A$2:$D$9,4,FALSE),"")</x:f>
        <x:v>SSD</x:v>
      </x:c>
      <x:c r="G91" t="n">
        <x:v>8</x:v>
      </x:c>
      <x:c r="H91" s="12" t="n">
        <x:v>46057</x:v>
      </x:c>
    </x:row>
    <x:row r="92">
      <x:c r="A92" t="str">
        <x:v>tram-091</x:v>
      </x:c>
      <x:c r="B92" t="str">
        <x:v>LK003</x:v>
      </x:c>
      <x:c r="C92" t="str">
        <x:f>TRIM(B92)</x:f>
        <x:v>LK003</x:v>
      </x:c>
      <x:c r="D92" t="str">
        <x:f>IFERROR(VLOOKUP(C92,'danh-muc-linh-kien'!$A$2:$D$9,2,FALSE),"Chưa cập nhật")</x:f>
        <x:v>Data Logger</x:v>
      </x:c>
      <x:c r="E92" s="10" t="n">
        <x:f>IFERROR(VLOOKUP(C92,'danh-muc-linh-kien'!$A$2:$D$9,3,FALSE),"")</x:f>
        <x:v>980000</x:v>
      </x:c>
      <x:c r="F92" t="str">
        <x:f>IFERROR(VLOOKUP(C92,'danh-muc-linh-kien'!$A$2:$D$9,4,FALSE),"")</x:f>
        <x:v>SSD</x:v>
      </x:c>
      <x:c r="G92" t="n">
        <x:v>8</x:v>
      </x:c>
      <x:c r="H92" s="12" t="n">
        <x:v>46060</x:v>
      </x:c>
    </x:row>
    <x:row r="93">
      <x:c r="A93" t="str">
        <x:v>tram-092</x:v>
      </x:c>
      <x:c r="B93" t="str">
        <x:v>LK004</x:v>
      </x:c>
      <x:c r="C93" t="str">
        <x:f>TRIM(B93)</x:f>
        <x:v>LK004</x:v>
      </x:c>
      <x:c r="D93" t="str">
        <x:f>IFERROR(VLOOKUP(C93,'danh-muc-linh-kien'!$A$2:$D$9,2,FALSE),"Chưa cập nhật")</x:f>
        <x:v>Gateway Legacy</x:v>
      </x:c>
      <x:c r="E93" s="10" t="n">
        <x:f>IFERROR(VLOOKUP(C93,'danh-muc-linh-kien'!$A$2:$D$9,3,FALSE),"")</x:f>
        <x:v>760000</x:v>
      </x:c>
      <x:c r="F93" t="str">
        <x:f>IFERROR(VLOOKUP(C93,'danh-muc-linh-kien'!$A$2:$D$9,4,FALSE),"")</x:f>
        <x:v>HDD</x:v>
      </x:c>
      <x:c r="G93" t="n">
        <x:v>16</x:v>
      </x:c>
      <x:c r="H93" s="12" t="n">
        <x:v>46063</x:v>
      </x:c>
    </x:row>
    <x:row r="94">
      <x:c r="A94" t="str">
        <x:v>tram-093</x:v>
      </x:c>
      <x:c r="B94" t="str">
        <x:v>LK999 </x:v>
      </x:c>
      <x:c r="C94" t="str">
        <x:f>TRIM(B94)</x:f>
        <x:v>LK999</x:v>
      </x:c>
      <x:c r="D94" t="str">
        <x:f>IFERROR(VLOOKUP(C94,'danh-muc-linh-kien'!$A$2:$D$9,2,FALSE),"Chưa cập nhật")</x:f>
        <x:v>Chưa cập nhật</x:v>
      </x:c>
      <x:c r="E94" s="10" t="str">
        <x:f>IFERROR(VLOOKUP(C94,'danh-muc-linh-kien'!$A$2:$D$9,3,FALSE),"")</x:f>
      </x:c>
      <x:c r="F94" t="str">
        <x:f>IFERROR(VLOOKUP(C94,'danh-muc-linh-kien'!$A$2:$D$9,4,FALSE),"")</x:f>
      </x:c>
      <x:c r="G94" t="n">
        <x:v>4</x:v>
      </x:c>
      <x:c r="H94" s="12" t="n">
        <x:v>46066</x:v>
      </x:c>
    </x:row>
    <x:row r="95">
      <x:c r="A95" t="str">
        <x:v>tram-094</x:v>
      </x:c>
      <x:c r="B95" t="str">
        <x:v>LK006</x:v>
      </x:c>
      <x:c r="C95" t="str">
        <x:f>TRIM(B95)</x:f>
        <x:v>LK006</x:v>
      </x:c>
      <x:c r="D95" t="str">
        <x:f>IFERROR(VLOOKUP(C95,'danh-muc-linh-kien'!$A$2:$D$9,2,FALSE),"Chưa cập nhật")</x:f>
        <x:v>Edge Server</x:v>
      </x:c>
      <x:c r="E95" s="10" t="n">
        <x:f>IFERROR(VLOOKUP(C95,'danh-muc-linh-kien'!$A$2:$D$9,3,FALSE),"")</x:f>
        <x:v>6200000</x:v>
      </x:c>
      <x:c r="F95" t="str">
        <x:f>IFERROR(VLOOKUP(C95,'danh-muc-linh-kien'!$A$2:$D$9,4,FALSE),"")</x:f>
        <x:v>SSD</x:v>
      </x:c>
      <x:c r="G95" t="n">
        <x:v>16</x:v>
      </x:c>
      <x:c r="H95" s="12" t="n">
        <x:v>46069</x:v>
      </x:c>
    </x:row>
    <x:row r="96">
      <x:c r="A96" t="str">
        <x:v>tram-095</x:v>
      </x:c>
      <x:c r="B96" t="str">
        <x:v>LK007</x:v>
      </x:c>
      <x:c r="C96" t="str">
        <x:f>TRIM(B96)</x:f>
        <x:v>LK007</x:v>
      </x:c>
      <x:c r="D96" t="str">
        <x:f>IFERROR(VLOOKUP(C96,'danh-muc-linh-kien'!$A$2:$D$9,2,FALSE),"Chưa cập nhật")</x:f>
        <x:v>Backup Node</x:v>
      </x:c>
      <x:c r="E96" s="10" t="n">
        <x:f>IFERROR(VLOOKUP(C96,'danh-muc-linh-kien'!$A$2:$D$9,3,FALSE),"")</x:f>
        <x:v>3100000</x:v>
      </x:c>
      <x:c r="F96" t="str">
        <x:f>IFERROR(VLOOKUP(C96,'danh-muc-linh-kien'!$A$2:$D$9,4,FALSE),"")</x:f>
        <x:v>HDD</x:v>
      </x:c>
      <x:c r="G96" t="n">
        <x:v>8</x:v>
      </x:c>
      <x:c r="H96" s="12" t="n">
        <x:v>46072</x:v>
      </x:c>
    </x:row>
    <x:row r="97">
      <x:c r="A97" t="str">
        <x:v>tram-096</x:v>
      </x:c>
      <x:c r="B97" t="str">
        <x:v>LK008</x:v>
      </x:c>
      <x:c r="C97" t="str">
        <x:f>TRIM(B97)</x:f>
        <x:v>LK008</x:v>
      </x:c>
      <x:c r="D97" t="str">
        <x:f>IFERROR(VLOOKUP(C97,'danh-muc-linh-kien'!$A$2:$D$9,2,FALSE),"Chưa cập nhật")</x:f>
        <x:v>Sensor Hub</x:v>
      </x:c>
      <x:c r="E97" s="10" t="n">
        <x:f>IFERROR(VLOOKUP(C97,'danh-muc-linh-kien'!$A$2:$D$9,3,FALSE),"")</x:f>
        <x:v>890000</x:v>
      </x:c>
      <x:c r="F97" t="str">
        <x:f>IFERROR(VLOOKUP(C97,'danh-muc-linh-kien'!$A$2:$D$9,4,FALSE),"")</x:f>
        <x:v>SSD</x:v>
      </x:c>
      <x:c r="G97" t="n">
        <x:v>4</x:v>
      </x:c>
      <x:c r="H97" s="12" t="n">
        <x:v>46075</x:v>
      </x:c>
    </x:row>
    <x:row r="98">
      <x:c r="A98" t="str">
        <x:v>tram-097</x:v>
      </x:c>
      <x:c r="B98" t="str">
        <x:v>LK001</x:v>
      </x:c>
      <x:c r="C98" t="str">
        <x:f>TRIM(B98)</x:f>
        <x:v>LK001</x:v>
      </x:c>
      <x:c r="D98" t="str">
        <x:f>IFERROR(VLOOKUP(C98,'danh-muc-linh-kien'!$A$2:$D$9,2,FALSE),"Chưa cập nhật")</x:f>
        <x:v>Gateway IoT</x:v>
      </x:c>
      <x:c r="E98" s="10" t="n">
        <x:f>IFERROR(VLOOKUP(C98,'danh-muc-linh-kien'!$A$2:$D$9,3,FALSE),"")</x:f>
        <x:v>1250000</x:v>
      </x:c>
      <x:c r="F98" t="str">
        <x:f>IFERROR(VLOOKUP(C98,'danh-muc-linh-kien'!$A$2:$D$9,4,FALSE),"")</x:f>
        <x:v>SSD</x:v>
      </x:c>
      <x:c r="G98" t="n">
        <x:v>4</x:v>
      </x:c>
      <x:c r="H98" s="12" t="n">
        <x:v>46078</x:v>
      </x:c>
    </x:row>
    <x:row r="99">
      <x:c r="A99" t="str">
        <x:v>tram-098</x:v>
      </x:c>
      <x:c r="B99" t="str">
        <x:v>LK002</x:v>
      </x:c>
      <x:c r="C99" t="str">
        <x:f>TRIM(B99)</x:f>
        <x:v>LK002</x:v>
      </x:c>
      <x:c r="D99" t="str">
        <x:f>IFERROR(VLOOKUP(C99,'danh-muc-linh-kien'!$A$2:$D$9,2,FALSE),"Chưa cập nhật")</x:f>
        <x:v>Mini PC Edge</x:v>
      </x:c>
      <x:c r="E99" s="10" t="n">
        <x:f>IFERROR(VLOOKUP(C99,'danh-muc-linh-kien'!$A$2:$D$9,3,FALSE),"")</x:f>
        <x:v>2850000</x:v>
      </x:c>
      <x:c r="F99" t="str">
        <x:f>IFERROR(VLOOKUP(C99,'danh-muc-linh-kien'!$A$2:$D$9,4,FALSE),"")</x:f>
        <x:v>SSD</x:v>
      </x:c>
      <x:c r="G99" t="n">
        <x:v>8</x:v>
      </x:c>
      <x:c r="H99" s="12" t="n">
        <x:v>46081</x:v>
      </x:c>
    </x:row>
    <x:row r="100">
      <x:c r="A100" t="str">
        <x:v>tram-099</x:v>
      </x:c>
      <x:c r="B100" t="str">
        <x:v>LK003</x:v>
      </x:c>
      <x:c r="C100" t="str">
        <x:f>TRIM(B100)</x:f>
        <x:v>LK003</x:v>
      </x:c>
      <x:c r="D100" t="str">
        <x:f>IFERROR(VLOOKUP(C100,'danh-muc-linh-kien'!$A$2:$D$9,2,FALSE),"Chưa cập nhật")</x:f>
        <x:v>Data Logger</x:v>
      </x:c>
      <x:c r="E100" s="10" t="n">
        <x:f>IFERROR(VLOOKUP(C100,'danh-muc-linh-kien'!$A$2:$D$9,3,FALSE),"")</x:f>
        <x:v>980000</x:v>
      </x:c>
      <x:c r="F100" t="str">
        <x:f>IFERROR(VLOOKUP(C100,'danh-muc-linh-kien'!$A$2:$D$9,4,FALSE),"")</x:f>
        <x:v>SSD</x:v>
      </x:c>
      <x:c r="G100" t="n">
        <x:v>8</x:v>
      </x:c>
      <x:c r="H100" s="12" t="n">
        <x:v>46084</x:v>
      </x:c>
    </x:row>
    <x:row r="101">
      <x:c r="A101" t="str">
        <x:v>tram-100</x:v>
      </x:c>
      <x:c r="B101" t="str">
        <x:v>LK004</x:v>
      </x:c>
      <x:c r="C101" t="str">
        <x:f>TRIM(B101)</x:f>
        <x:v>LK004</x:v>
      </x:c>
      <x:c r="D101" t="str">
        <x:f>IFERROR(VLOOKUP(C101,'danh-muc-linh-kien'!$A$2:$D$9,2,FALSE),"Chưa cập nhật")</x:f>
        <x:v>Gateway Legacy</x:v>
      </x:c>
      <x:c r="E101" s="10" t="n">
        <x:f>IFERROR(VLOOKUP(C101,'danh-muc-linh-kien'!$A$2:$D$9,3,FALSE),"")</x:f>
        <x:v>760000</x:v>
      </x:c>
      <x:c r="F101" t="str">
        <x:f>IFERROR(VLOOKUP(C101,'danh-muc-linh-kien'!$A$2:$D$9,4,FALSE),"")</x:f>
        <x:v>HDD</x:v>
      </x:c>
      <x:c r="G101" t="n">
        <x:v>16</x:v>
      </x:c>
      <x:c r="H101" s="12" t="n">
        <x:v>46087</x:v>
      </x:c>
    </x:row>
  </x:sheetData>
  <x:pageMargins left="0.7" right="0.7" top="0.75" bottom="0.75" header="0.3" footer="0.3"/>
  <x:tableParts count="1">
    <x:tablePart xmlns:r="http://schemas.openxmlformats.org/officeDocument/2006/relationships" r:id="R8793cfeb5d06416a"/>
  </x:tableParts>
</x:worksheet>
</file>